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endario Publicaciones 2026" sheetId="1" r:id="rId5"/>
    <sheet state="visible" name="Seguimiento Embajadores T126" sheetId="2" r:id="rId6"/>
    <sheet state="visible" name="Calendario publicaciones 2025" sheetId="3" r:id="rId7"/>
    <sheet state="visible" name="Ads Campaigns" sheetId="4" r:id="rId8"/>
    <sheet state="visible" name="VideosReels para repost" sheetId="5" r:id="rId9"/>
    <sheet state="hidden" name="Calendario publicaciones rrss" sheetId="6" r:id="rId10"/>
    <sheet state="visible" name="Díasfechas señaladas" sheetId="7" r:id="rId11"/>
    <sheet state="hidden" name="Seguimiento Plan Embajadores" sheetId="8" r:id="rId12"/>
    <sheet state="visible" name="IdeasTemas contenido" sheetId="9" r:id="rId13"/>
    <sheet state="hidden" name="Newsletters" sheetId="10" r:id="rId14"/>
    <sheet state="hidden" name="Insights RRSS" sheetId="11" r:id="rId15"/>
    <sheet state="visible" name="Usuarios para monitorear" sheetId="12" r:id="rId16"/>
    <sheet state="visible" name="Documentos Plan RRSS" sheetId="13" r:id="rId17"/>
    <sheet state="visible" name="Insights RRSS " sheetId="14" r:id="rId18"/>
    <sheet state="hidden" name=" Insights RRSS sin ADS" sheetId="15" r:id="rId19"/>
    <sheet state="hidden" name="GMB Performance" sheetId="16" r:id="rId20"/>
    <sheet state="visible" name="Zapp Titan Campaign Leads (1225" sheetId="17" r:id="rId21"/>
    <sheet state="visible" name="MEGA 125 Campaign Leads (1025)" sheetId="18" r:id="rId22"/>
  </sheets>
  <definedNames>
    <definedName hidden="1" localSheetId="17" name="_xlnm._FilterDatabase">'MEGA 125 Campaign Leads (1025)'!$A$1:$I$62</definedName>
  </definedNames>
  <calcPr/>
</workbook>
</file>

<file path=xl/sharedStrings.xml><?xml version="1.0" encoding="utf-8"?>
<sst xmlns="http://schemas.openxmlformats.org/spreadsheetml/2006/main" count="2241" uniqueCount="992">
  <si>
    <t>MES</t>
  </si>
  <si>
    <t>Fechas especiales</t>
  </si>
  <si>
    <t>Plataforma</t>
  </si>
  <si>
    <t>Temática</t>
  </si>
  <si>
    <t>Fecha</t>
  </si>
  <si>
    <t>Responsable</t>
  </si>
  <si>
    <t>Formato</t>
  </si>
  <si>
    <t>Estado publicación</t>
  </si>
  <si>
    <t>Comentarios Cortag / T4D</t>
  </si>
  <si>
    <t>ENERO</t>
  </si>
  <si>
    <t>Instagram + Facebook Europe</t>
  </si>
  <si>
    <t>Stories Extras</t>
  </si>
  <si>
    <t>FEBRERO</t>
  </si>
  <si>
    <t>Post cortag Mega</t>
  </si>
  <si>
    <t>Patricia</t>
  </si>
  <si>
    <t>Stories + Post/Reel</t>
  </si>
  <si>
    <t xml:space="preserve">Reel Cortag Brasil Corte Disco Diamante/Porcelánico </t>
  </si>
  <si>
    <t>Marta</t>
  </si>
  <si>
    <t>Stories</t>
  </si>
  <si>
    <t xml:space="preserve">Repost @versatile_llc /https://www.instagram.com/p/DSZ_VFNDnO3/ </t>
  </si>
  <si>
    <t>Repost reel  @jonaslimaconstrucoes sobre cortag mega y stories sobre soluciones para largo formato</t>
  </si>
  <si>
    <t>MARZO</t>
  </si>
  <si>
    <t>Reel repost Unboxing Asenjo Brothers traducido</t>
  </si>
  <si>
    <t>Reel + stories</t>
  </si>
  <si>
    <t xml:space="preserve">Repost video Cortag Mega 125 </t>
  </si>
  <si>
    <t>En curso</t>
  </si>
  <si>
    <t>Reel repost Alicatadogs (spain) MEGA</t>
  </si>
  <si>
    <t xml:space="preserve">Marta </t>
  </si>
  <si>
    <t>Reel repost Easy Spin Asenjo Brothers</t>
  </si>
  <si>
    <t>Reel repost Alicatadogs (spain) Zapp Titan // O bien respost de algun embajador (esperando nuevo contenido)</t>
  </si>
  <si>
    <t>MAYO</t>
  </si>
  <si>
    <t xml:space="preserve">Instagram + Facebook </t>
  </si>
  <si>
    <t>Semana 28/04</t>
  </si>
  <si>
    <t>Semana 05/05</t>
  </si>
  <si>
    <t>Semana 12/05</t>
  </si>
  <si>
    <t>Semana 19/05</t>
  </si>
  <si>
    <t>Semana 26/05</t>
  </si>
  <si>
    <t xml:space="preserve">Stories </t>
  </si>
  <si>
    <t>Posts/Stories Extras*</t>
  </si>
  <si>
    <t>JUNIO</t>
  </si>
  <si>
    <t xml:space="preserve">Repost Reel Coverings @petrushapro https://www.instagram.com/reel/DJW7yYOugzF/?igsh=MTF5OGYyb29lMHd2dg%3D%3D </t>
  </si>
  <si>
    <t>Semana 02/06</t>
  </si>
  <si>
    <t>Reel</t>
  </si>
  <si>
    <t>Ok sin programar</t>
  </si>
  <si>
    <t>(es ruso pero está traducido porque es de EEUU y su audiencia también es de allí)</t>
  </si>
  <si>
    <t>Repost Reel repost deversatile_llc
 @ https://www.instagram.com/reel/DJxkfEyNW2g/?igsh=MTNlcnlxZXplaDEydw%3D%3D</t>
  </si>
  <si>
    <t>Semana 09/06</t>
  </si>
  <si>
    <t>Contenido pospuesto en Junio del mes anterior (ya en la presentación)</t>
  </si>
  <si>
    <t>Semana 16/06</t>
  </si>
  <si>
    <t>Carrusel</t>
  </si>
  <si>
    <t>*Alternativa: Reel con vídeo de producto Cortadora INFINITY Gran Formato</t>
  </si>
  <si>
    <t>Semana 23/06</t>
  </si>
  <si>
    <t>*Alternativa: Reel con vídeo de producto Manual Cutter New Master o Gama HD</t>
  </si>
  <si>
    <t>Story sobre discos de diamante (en vídeo o imágenes)</t>
  </si>
  <si>
    <t>Story sobre ventosas de succión (en vídeo o imágenes)</t>
  </si>
  <si>
    <t>Story sobre Cortadora INFINITY (en vídeo o imágenes)</t>
  </si>
  <si>
    <t>Story sobre cortadora New Master o Gama HD (en vídeo o imágenes)</t>
  </si>
  <si>
    <t>JULIO</t>
  </si>
  <si>
    <t>Reel o Carrusel a escoger entre temática: Leveling Systems, Manual Cutters o Wet Saws</t>
  </si>
  <si>
    <t>Semana 01/07</t>
  </si>
  <si>
    <t>Reel MEGA 125: https://www.instagram.com/reel/DKVI_p4xbNq/?igsh=MXdzMHFleno3bTJzbw==</t>
  </si>
  <si>
    <t>Semana 07/07</t>
  </si>
  <si>
    <r>
      <rPr/>
      <t xml:space="preserve">Reel o Carrusel a escoger entre temática: Leveling Systems, Manual Cutters o Wet Saws (tenemos esto que podrías usar quizás, es el Basic 2 Leveling System : </t>
    </r>
    <r>
      <rPr>
        <color rgb="FF1155CC"/>
        <u/>
      </rPr>
      <t>https://www.instagram.com/p/CcdvqhPpeJz/?img_index=1)</t>
    </r>
  </si>
  <si>
    <t>Semana 14/07</t>
  </si>
  <si>
    <t>Semana 21/07</t>
  </si>
  <si>
    <r>
      <rPr/>
      <t xml:space="preserve">Reel: </t>
    </r>
    <r>
      <rPr>
        <color rgb="FF1155CC"/>
        <u/>
      </rPr>
      <t>https://www.instagram.com/p/CYcEq1rlxmw/</t>
    </r>
    <r>
      <rPr/>
      <t xml:space="preserve"> (Basic Leveling System) </t>
    </r>
  </si>
  <si>
    <t>Semana 28/07</t>
  </si>
  <si>
    <r>
      <rPr>
        <rFont val="Arial"/>
        <b/>
        <color theme="1"/>
      </rPr>
      <t xml:space="preserve">Marta y Patricia </t>
    </r>
    <r>
      <rPr>
        <rFont val="Arial"/>
        <color theme="1"/>
      </rPr>
      <t xml:space="preserve">&gt; Targeting the Florida and Texas markets (revisar si han comentado algo en Whats sobre alguna tienda de estos estados y pedir lista de algunos grandes puntos de venta para poder hacer mención por ejemplo: poner un mapa con los puntos de venta indicados en una story, próximas demos.. etc).
</t>
    </r>
    <r>
      <rPr>
        <rFont val="Arial"/>
        <b/>
        <color theme="1"/>
      </rPr>
      <t>Puntos de venta de Florida</t>
    </r>
    <r>
      <rPr>
        <rFont val="Arial"/>
        <color theme="1"/>
      </rPr>
      <t xml:space="preserve">: @dbtile , @americas_supplies , US Floor Covering and Cabinetry (FB) , @rigotile </t>
    </r>
  </si>
  <si>
    <t>AGOSTO</t>
  </si>
  <si>
    <t xml:space="preserve">Reel repost @extremflooringusa </t>
  </si>
  <si>
    <t>Semana 05/08</t>
  </si>
  <si>
    <r>
      <rPr/>
      <t xml:space="preserve">Repost JC Tile (Master Plus pero diremos que es la MEGA): </t>
    </r>
    <r>
      <rPr>
        <color rgb="FF1155CC"/>
        <u/>
      </rPr>
      <t>https://www.instagram.com/reel/DL8aPZ4MHOH/?igsh=MXRpYTdiYWw5YmNiOQ==</t>
    </r>
  </si>
  <si>
    <t>Semana 12/08</t>
  </si>
  <si>
    <t>Pendiente aprobar</t>
  </si>
  <si>
    <t xml:space="preserve">Contenido de MEGA </t>
  </si>
  <si>
    <t>Semana 19/08</t>
  </si>
  <si>
    <t>Contenido de la Zapp Titan</t>
  </si>
  <si>
    <t>Semana 26/08</t>
  </si>
  <si>
    <t>LinkedIn</t>
  </si>
  <si>
    <t>Semana 29/08</t>
  </si>
  <si>
    <t>ABRIL</t>
  </si>
  <si>
    <t>Carrusel + Stories</t>
  </si>
  <si>
    <t>Semana 02/09</t>
  </si>
  <si>
    <t>Semana 09/09</t>
  </si>
  <si>
    <t>Semana 16/09</t>
  </si>
  <si>
    <t>Semana 23/09</t>
  </si>
  <si>
    <t>Semana 30/09</t>
  </si>
  <si>
    <t>OCTUBRE</t>
  </si>
  <si>
    <t>Cortadora Eléctriza Zapp Carrusel (Patricia)</t>
  </si>
  <si>
    <t>Programado</t>
  </si>
  <si>
    <t>Repost @dstrausl</t>
  </si>
  <si>
    <t>Semana 07/10</t>
  </si>
  <si>
    <t>Reel repost @jctiles</t>
  </si>
  <si>
    <t>Semana 14/10</t>
  </si>
  <si>
    <t>Reel respost o contenido sobre alguna de las novedades (Marta)</t>
  </si>
  <si>
    <t>Semana 21/10</t>
  </si>
  <si>
    <t>Repost reel @soto.constructions.services</t>
  </si>
  <si>
    <t>Semana 28/10</t>
  </si>
  <si>
    <t>Stories Extras (no contempladas en el plan)</t>
  </si>
  <si>
    <t>Semana 23/10</t>
  </si>
  <si>
    <t>DICIEMBRE</t>
  </si>
  <si>
    <t xml:space="preserve">Catálogo Soluciones Completas </t>
  </si>
  <si>
    <t>Semana 02/12</t>
  </si>
  <si>
    <r>
      <rPr/>
      <t xml:space="preserve">Inspiración: &gt; </t>
    </r>
    <r>
      <rPr>
        <color rgb="FF1155CC"/>
        <u/>
      </rPr>
      <t>https://www.instagram.com/p/CRWGq7GoFJB/</t>
    </r>
  </si>
  <si>
    <t>Semana 09/12</t>
  </si>
  <si>
    <t>Pendiente</t>
  </si>
  <si>
    <t xml:space="preserve">Reel de la lista confirmado / Soluciones Gran Formato </t>
  </si>
  <si>
    <t>Semana 16/12</t>
  </si>
  <si>
    <t>Ok (sin programar)</t>
  </si>
  <si>
    <t>Opción 1: Reels de la lista (si se han confirmado) si no pondré Carrusel "Soluciones Gran Formato"</t>
  </si>
  <si>
    <t>Semana 23/12</t>
  </si>
  <si>
    <t>Paricia</t>
  </si>
  <si>
    <t xml:space="preserve">&gt; Esta semana ya corresponde a Enero </t>
  </si>
  <si>
    <t>Semana 30/12</t>
  </si>
  <si>
    <t xml:space="preserve">Catálogo General con link </t>
  </si>
  <si>
    <r>
      <rPr/>
      <t xml:space="preserve">Inspiación &gt; </t>
    </r>
    <r>
      <rPr>
        <color rgb="FF1155CC"/>
        <u/>
      </rPr>
      <t>https://www.instagram.com/stories/highlights/18029413585221965/</t>
    </r>
  </si>
  <si>
    <t>Soluciones Gran Formato (Catalogo link)</t>
  </si>
  <si>
    <t>*Posts/stories extras que nos pidan y no estaban contempladas</t>
  </si>
  <si>
    <t>SEPTIEMBRE</t>
  </si>
  <si>
    <t>NOVIEMBRE</t>
  </si>
  <si>
    <t>NAVIDAD 24/12</t>
  </si>
  <si>
    <t>FIN DE AÑO 31/12</t>
  </si>
  <si>
    <t>CORTAG USA - INFLUENCER TRACKING Q1 2026</t>
  </si>
  <si>
    <t>METRIC</t>
  </si>
  <si>
    <t>Phillip Harms</t>
  </si>
  <si>
    <t>Daniel Becerra</t>
  </si>
  <si>
    <t>Dumitru Guleac</t>
  </si>
  <si>
    <t>Instagram Handle</t>
  </si>
  <si>
    <t>@versatile_llc</t>
  </si>
  <si>
    <t>@yourtiledesignguy</t>
  </si>
  <si>
    <t>@dg_pro_remodeling_llc</t>
  </si>
  <si>
    <t>Followers Start T1</t>
  </si>
  <si>
    <t>Followers End T1</t>
  </si>
  <si>
    <t>📹 REEL 1 (Required)</t>
  </si>
  <si>
    <t>Link</t>
  </si>
  <si>
    <t>https://www.instagram.com/reel/DTmQQCwjRyW/</t>
  </si>
  <si>
    <t>https://www.instagram.com/yourtiledesignguy/reel/DT34_evj2y8/</t>
  </si>
  <si>
    <t>https://www.instagram.com/dg_pro_remodeling_llc/reel/DUpTC7jDOt8/</t>
  </si>
  <si>
    <t>Date</t>
  </si>
  <si>
    <t>Views</t>
  </si>
  <si>
    <t>📹 REEL 2 (Required)</t>
  </si>
  <si>
    <t>https://www.instagram.com/p/DTopAT9jZHY/</t>
  </si>
  <si>
    <t>https://www.instagram.com/dg_pro_remodeling_llc/reel/DU3bS4mkcER/</t>
  </si>
  <si>
    <t>➕ EXTRA CONTENT (Optional)</t>
  </si>
  <si>
    <t>Reel 3 Link</t>
  </si>
  <si>
    <t>https://www.instagram.com/reel/DUsF8wPDs1B/</t>
  </si>
  <si>
    <t>https://www.instagram.com/reel/DU_KHVYkRRq/</t>
  </si>
  <si>
    <t>Reel 3 Views</t>
  </si>
  <si>
    <t>Reel 4 Link</t>
  </si>
  <si>
    <t>https://www.instagram.com/reel/DUv6zo5DqBO/</t>
  </si>
  <si>
    <t>https://www.instagram.com/dg_pro_remodeling_llc/reel/DVpXdDlEWu_/</t>
  </si>
  <si>
    <t>Reel 4 Views</t>
  </si>
  <si>
    <t>Reel 5 Link</t>
  </si>
  <si>
    <t>https://www.instagram.com/reel/DWU5fyWEfog/?igsh=Z29wandxa2d6eTAx</t>
  </si>
  <si>
    <t>Reel 5 Views</t>
  </si>
  <si>
    <t>Reel 6 Link</t>
  </si>
  <si>
    <t>https://www.instagram.com/reel/DWmLnWmD2_R/?igsh=ZWxhY3Vrb2p4NHZ6</t>
  </si>
  <si>
    <t>Reel 6 Views</t>
  </si>
  <si>
    <t>Reel 7 Link</t>
  </si>
  <si>
    <t>https://www.instagram.com/reel/DW754T8CQFo/?igsh=MW16bnZkNXR3YnZ2eQ==</t>
  </si>
  <si>
    <t>Reel 7 Views</t>
  </si>
  <si>
    <t xml:space="preserve">Reel 8 Link </t>
  </si>
  <si>
    <t>https://www.instagram.com/reel/DXBOKmWEbPq/?igsh=ams5amJsYjV5d2Z4</t>
  </si>
  <si>
    <t>Reel 8 Views</t>
  </si>
  <si>
    <t>📸 STORIES (2 Required + Optional Extra)</t>
  </si>
  <si>
    <t>Story 1 ✓</t>
  </si>
  <si>
    <t>Story 2 ✓</t>
  </si>
  <si>
    <t>Story 3 (optional)</t>
  </si>
  <si>
    <t>Story 4 (optional)</t>
  </si>
  <si>
    <t>📊 SUMMARY</t>
  </si>
  <si>
    <t>TOTAL VIEWS (Reels 1+2)</t>
  </si>
  <si>
    <t>Total All Reels (incl. extra)</t>
  </si>
  <si>
    <t>Average Views/Reel</t>
  </si>
  <si>
    <t>Año nuevo</t>
  </si>
  <si>
    <t>Reel sistema nivelación (si confirmamos que son de Cortag)</t>
  </si>
  <si>
    <t>Semana 05/01</t>
  </si>
  <si>
    <t>Repost @lab88revestimentos x Cortag Sistema Infinity</t>
  </si>
  <si>
    <t>Semana 12/01</t>
  </si>
  <si>
    <t>XXX</t>
  </si>
  <si>
    <t xml:space="preserve"> Semana 19/01</t>
  </si>
  <si>
    <t>Reel Disco porcelanato/vidrio</t>
  </si>
  <si>
    <t>Semana 26/01</t>
  </si>
  <si>
    <t>Semana 12/02</t>
  </si>
  <si>
    <t>Post + Story</t>
  </si>
  <si>
    <t>Semana 19/02</t>
  </si>
  <si>
    <t>Semana 26/02</t>
  </si>
  <si>
    <t>Semana 19/01</t>
  </si>
  <si>
    <t>Story</t>
  </si>
  <si>
    <t>Día de la mujer</t>
  </si>
  <si>
    <t>Dia del padre</t>
  </si>
  <si>
    <t xml:space="preserve"> Primavera</t>
  </si>
  <si>
    <r>
      <rPr/>
      <t xml:space="preserve">Reel o Carrusel a escoger entre temática: Leveling Systems, Manual Cutters o Wet Saws (tenemos esto que podrías usar quizás, es el Basic 2 Leveling System : </t>
    </r>
    <r>
      <rPr>
        <color rgb="FF1155CC"/>
        <u/>
      </rPr>
      <t>https://www.instagram.com/p/CcdvqhPpeJz/?img_index=1)</t>
    </r>
  </si>
  <si>
    <r>
      <rPr/>
      <t xml:space="preserve">Reel: </t>
    </r>
    <r>
      <rPr>
        <color rgb="FF1155CC"/>
        <u/>
      </rPr>
      <t>https://www.instagram.com/p/CYcEq1rlxmw/</t>
    </r>
    <r>
      <rPr/>
      <t xml:space="preserve"> (Basic Leveling System) </t>
    </r>
  </si>
  <si>
    <r>
      <rPr>
        <rFont val="Arial"/>
        <b/>
        <color theme="1"/>
      </rPr>
      <t xml:space="preserve">Marta y Patricia </t>
    </r>
    <r>
      <rPr>
        <rFont val="Arial"/>
        <color theme="1"/>
      </rPr>
      <t xml:space="preserve">&gt; Targeting the Florida and Texas markets (revisar si han comentado algo en Whats sobre alguna tienda de estos estados y pedir lista de algunos grandes puntos de venta para poder hacer mención por ejemplo: poner un mapa con los puntos de venta indicados en una story, próximas demos.. etc).
</t>
    </r>
    <r>
      <rPr>
        <rFont val="Arial"/>
        <b/>
        <color theme="1"/>
      </rPr>
      <t>Puntos de venta de Florida</t>
    </r>
    <r>
      <rPr>
        <rFont val="Arial"/>
        <color theme="1"/>
      </rPr>
      <t xml:space="preserve">: @dbtile , @americas_supplies , US Floor Covering and Cabinetry (FB) , @rigotile </t>
    </r>
  </si>
  <si>
    <r>
      <rPr/>
      <t xml:space="preserve">Repost JC Tile (Master Plus pero diremos que es la MEGA): </t>
    </r>
    <r>
      <rPr>
        <color rgb="FF1155CC"/>
        <u/>
      </rPr>
      <t>https://www.instagram.com/reel/DL8aPZ4MHOH/?igsh=MXRpYTdiYWw5YmNiOQ==</t>
    </r>
  </si>
  <si>
    <t>Reel respost @n.levens.tile</t>
  </si>
  <si>
    <t>Reel repost @soto.construction.services</t>
  </si>
  <si>
    <t>Reel repost @lab88revestimentos</t>
  </si>
  <si>
    <t xml:space="preserve">30/09 al 03/10 </t>
  </si>
  <si>
    <t>Feria Batimat</t>
  </si>
  <si>
    <t xml:space="preserve">Carrusel PRIME </t>
  </si>
  <si>
    <t>Semana 04/11</t>
  </si>
  <si>
    <t>Semana 11/11</t>
  </si>
  <si>
    <t>Semana 18/11</t>
  </si>
  <si>
    <t>Black Friday</t>
  </si>
  <si>
    <t>Semana 25/11</t>
  </si>
  <si>
    <r>
      <rPr/>
      <t xml:space="preserve">Inspiración: &gt; </t>
    </r>
    <r>
      <rPr>
        <color rgb="FF1155CC"/>
        <u/>
      </rPr>
      <t>https://www.instagram.com/p/CRWGq7GoFJB/</t>
    </r>
  </si>
  <si>
    <r>
      <rPr/>
      <t xml:space="preserve">Inspiación &gt; </t>
    </r>
    <r>
      <rPr>
        <color rgb="FF1155CC"/>
        <u/>
      </rPr>
      <t>https://www.instagram.com/stories/highlights/18029413585221965/</t>
    </r>
  </si>
  <si>
    <t>Manual Cutter Prime Giveaway</t>
  </si>
  <si>
    <t>MEGA 125 Awarness Campaign</t>
  </si>
  <si>
    <t>Zapp Titan Awarness Campaign</t>
  </si>
  <si>
    <t>Información General Instagram (Ads)</t>
  </si>
  <si>
    <t>Fecha publicación</t>
  </si>
  <si>
    <t>Fecha fin</t>
  </si>
  <si>
    <t>Visualizaciones totales</t>
  </si>
  <si>
    <t>Alcance total</t>
  </si>
  <si>
    <t xml:space="preserve">Clicks </t>
  </si>
  <si>
    <t>Leads/Conversiones</t>
  </si>
  <si>
    <t>-</t>
  </si>
  <si>
    <t>102 leads</t>
  </si>
  <si>
    <t>10 leads</t>
  </si>
  <si>
    <t>CPR (coste/resultado)</t>
  </si>
  <si>
    <t>CTR (% clicks en link)</t>
  </si>
  <si>
    <t>Presupuesto gastado (R$)</t>
  </si>
  <si>
    <t>Link Publicación</t>
  </si>
  <si>
    <t>https://www.instagram.com/p/DPPMJ28iCtQ/</t>
  </si>
  <si>
    <t>Calendario Publicaciones RRSS Cortag USA</t>
  </si>
  <si>
    <t>LISTA DE CONTENIDO EXTERNO DONDE SE USA CORTAG</t>
  </si>
  <si>
    <t>Observaciones T4D</t>
  </si>
  <si>
    <t>Válido para publicar en Redes Sociales</t>
  </si>
  <si>
    <t>Cometarios Cortag USA</t>
  </si>
  <si>
    <t>Utilizado</t>
  </si>
  <si>
    <t xml:space="preserve">https://www.instagram.com/p/DB07ELOxuhb/ </t>
  </si>
  <si>
    <t xml:space="preserve">Resultados finales después de usar CORTAG
</t>
  </si>
  <si>
    <t>No</t>
  </si>
  <si>
    <t>Ok para contestarles y agradecerles por usar nuestros productos y felicitarles por el proyecto</t>
  </si>
  <si>
    <t>Descartado</t>
  </si>
  <si>
    <t>https://www.instagram.com/p/DBbKLeoxn12/</t>
  </si>
  <si>
    <t xml:space="preserve">Video herramienta usándola en detalle
</t>
  </si>
  <si>
    <t>Herramienta todavia no disponible para el mercado americano</t>
  </si>
  <si>
    <t>https://www.instagram.com/p/Cx1K4LHxCB7/</t>
  </si>
  <si>
    <t xml:space="preserve">Herramienta en detalle mientras se usa
</t>
  </si>
  <si>
    <t>Si</t>
  </si>
  <si>
    <t>Ok para repostear. Usuario final de Brasil. Necesitamos encontrar videos de usuarios finales en USA para dar mas credibilidad en el mercado americano</t>
  </si>
  <si>
    <t>https://www.instagram.com/p/C9iNtCfRRPO/</t>
  </si>
  <si>
    <t>Video herramienta usándose</t>
  </si>
  <si>
    <t>https://www.instagram.com/p/C8wtfkqohJC/</t>
  </si>
  <si>
    <t>Video enseñando como usar algo</t>
  </si>
  <si>
    <t>EASY SPIN - Repostear solamente y aconsejar que en el futuro utilize los protection shields referencias 62583 y 62582</t>
  </si>
  <si>
    <t>https://www.instagram.com/p/C5pPyJAOIWq/</t>
  </si>
  <si>
    <t>Video trabajo usando Cortag</t>
  </si>
  <si>
    <t>TRADITIONAL LEVELING System. No sale nuestro producto en uso. Solo la caja. Contestarle y agradecerle por usar nuestros productos</t>
  </si>
  <si>
    <t>https://www.instagram.com/p/C5173HpJBD3/</t>
  </si>
  <si>
    <t>Infinity tile cutter. Tecnica usada no recomendada en USA</t>
  </si>
  <si>
    <t>https://www.instagram.com/p/C30NgJGr0st/</t>
  </si>
  <si>
    <t>Video muestra Cortag</t>
  </si>
  <si>
    <t>No me deja abrir el link</t>
  </si>
  <si>
    <t>https://www.instagram.com/p/C0F116jIt8A/</t>
  </si>
  <si>
    <t>Video uso Cortag</t>
  </si>
  <si>
    <t>Productos usados, Grabo, Rubi y camiseta de Laticrette. No veo ningun producto Cortag destacado</t>
  </si>
  <si>
    <t>https://www.instagram.com/p/C0UGfbjuUtC/</t>
  </si>
  <si>
    <t>Herramientas Cortag</t>
  </si>
  <si>
    <t>Video usando herramientas de Cortag</t>
  </si>
  <si>
    <t>https://www.instagram.com/p/CrRsEylAwut/</t>
  </si>
  <si>
    <t xml:space="preserve">Usando herramienta Cortag
</t>
  </si>
  <si>
    <t>Mega Tile Cutter - GRAN VIDEO A DAR EXPOSICION EN NUESTRAS REDES SOCIALES! TOP.</t>
  </si>
  <si>
    <t xml:space="preserve">https://www.instagram.com/p/CrOh50Rp82e/ </t>
  </si>
  <si>
    <t>Usando herramienta Cortag</t>
  </si>
  <si>
    <t>Cortadora manual descatalogada en USA. Usuario final de Brasil. Necesitamos encontrar videos de usuarios finales en USA para dar mas credibilidad en el mercado americano</t>
  </si>
  <si>
    <t>https://www.instagram.com/p/Cq6f-33ObJj/?img_index=5</t>
  </si>
  <si>
    <t>Resultado después de usar Cortag</t>
  </si>
  <si>
    <t>https://www.instagram.com/p/ChGBQ9cp2AJ/</t>
  </si>
  <si>
    <t>Usando Cortag</t>
  </si>
  <si>
    <t>https://www.instagram.com/p/CcdvqhPpeJz/?img_index=1</t>
  </si>
  <si>
    <t xml:space="preserve"> Resultados Cortag</t>
  </si>
  <si>
    <t>Basic 2 Leveling System. Ok repostear y felicitarles por el resultado</t>
  </si>
  <si>
    <t>https://www.instagram.com/p/CYcEq1rlxmw/</t>
  </si>
  <si>
    <t>https://www.instagram.com/p/DBGiJ8cR7Lv/</t>
  </si>
  <si>
    <t>Contenido de @jc_tile</t>
  </si>
  <si>
    <t>Master Plus es una cortadora descontinuada. Usa muchos productos de la competencia</t>
  </si>
  <si>
    <t>https://www.instagram.com/p/ChW3pQmFRmu/</t>
  </si>
  <si>
    <t>https://www.instagram.com/p/CfKmASqFSqq/</t>
  </si>
  <si>
    <t xml:space="preserve">Master Plus y podemos decir que esta descontinuada y sustituida por la Mega Tile Cutter que esta disponible en 30¨ 36¨49¨61¨71¨ </t>
  </si>
  <si>
    <t>https://www.instagram.com/p/Ca3J9VNlBjb/</t>
  </si>
  <si>
    <t>OK  STAINLESS STEEL NOTCHED TROWEL - OPEN HANDLE - 11in</t>
  </si>
  <si>
    <t>https://www.instagram.com/p/CazTMkclzJj/</t>
  </si>
  <si>
    <t>https://www.instagram.com/p/CcgAH9qARJF/</t>
  </si>
  <si>
    <t>Usa muchos productos de la competencia</t>
  </si>
  <si>
    <t>https://www.instagram.com/p/CaPoHiAl1Nv/</t>
  </si>
  <si>
    <t>OK. Nos menciona y usa nuestro trowel, basic 2 y cortadora manual master plus ¨descontinuada¨</t>
  </si>
  <si>
    <t>https://www.instagram.com/p/CZexxPtO2Bo/</t>
  </si>
  <si>
    <t>No se ven productos Cortag</t>
  </si>
  <si>
    <t>https://www.instagram.com/p/CY_4_yyFS6Y/</t>
  </si>
  <si>
    <t>https://www.instagram.com/p/CYty4telzHD/</t>
  </si>
  <si>
    <t>OK. Nos menciona y usa nuestro trowel y cortadora manual master plus ¨descontinuada¨</t>
  </si>
  <si>
    <t>https://www.instagram.com/reel/CslmYD0tcbc/?igsh=YzYxeWthYTVtNmkw</t>
  </si>
  <si>
    <t xml:space="preserve">@bcrflooring se podría hacer repost &gt; Master Plus 125
</t>
  </si>
  <si>
    <t>Ok pero esta cortadora ya esta descontinuada</t>
  </si>
  <si>
    <t>https://www.instagram.com/p/C6l0bWKgmjl/</t>
  </si>
  <si>
    <t>Parece que usa sistema de nivelación de Cortag pero no estamos seguros</t>
  </si>
  <si>
    <t>Parece que es el sistema de Cortag pero no es uno de los que comercializamos en USA</t>
  </si>
  <si>
    <t>https://www.instagram.com/p/DDExGjHRcGP/</t>
  </si>
  <si>
    <t>Se ve usando una cortadora Cortag en un proyecto real, faltaría confirmar modelo. Menciona al proveedor de Brasil donde la adquirió (dominikmetalcenter)</t>
  </si>
  <si>
    <t>https://www.instagram.com/p/C8j9tW_gHyE/</t>
  </si>
  <si>
    <t>https://www.instagram.com/p/DEYQV9FSQx-/</t>
  </si>
  <si>
    <t xml:space="preserve">Muestra la ventosa articulada 45º </t>
  </si>
  <si>
    <t>No disponible en usa todavia</t>
  </si>
  <si>
    <t>https://www.instagram.com/p/DECnvgvxEw_/</t>
  </si>
  <si>
    <t>@Jctile con la SUPER (pondremos que este modelo se sustituye por la MEGA)</t>
  </si>
  <si>
    <t>https://www.instagram.com/p/DDfol6jR61D/</t>
  </si>
  <si>
    <t>Instalación en tiempo real con EASY SPIN @smallsdacontractor</t>
  </si>
  <si>
    <t>https://www.instagram.com/p/DGduGNJxkiO/?hl=es</t>
  </si>
  <si>
    <t>Demo completa de Zapp Titan con ejemplo en corte mojado</t>
  </si>
  <si>
    <t>https://www.instagram.com/p/DUcfwjckV-M/</t>
  </si>
  <si>
    <t>CORTAG MEGA 125</t>
  </si>
  <si>
    <t>Usado para marzo 2026</t>
  </si>
  <si>
    <t xml:space="preserve"> </t>
  </si>
  <si>
    <t>Semana 29/04</t>
  </si>
  <si>
    <t>Semana 06/05</t>
  </si>
  <si>
    <t>Semana 13/05</t>
  </si>
  <si>
    <t>Semana 20/05</t>
  </si>
  <si>
    <t>Semana 27/05</t>
  </si>
  <si>
    <t>Semana 03/06</t>
  </si>
  <si>
    <t>Semana 10/06</t>
  </si>
  <si>
    <t>Semana 17/06</t>
  </si>
  <si>
    <t>Semana 24/06</t>
  </si>
  <si>
    <t>Facebook Portugal + France</t>
  </si>
  <si>
    <t>Stories Extras (si procede/hay contenido)</t>
  </si>
  <si>
    <t xml:space="preserve">Material gráfico de Cortag </t>
  </si>
  <si>
    <t>Semana 08/07</t>
  </si>
  <si>
    <t>Semana 15/07</t>
  </si>
  <si>
    <t>Semana 22/07</t>
  </si>
  <si>
    <t>Semana 29/07</t>
  </si>
  <si>
    <r>
      <rPr/>
      <t xml:space="preserve">Repost JCtile: </t>
    </r>
    <r>
      <rPr>
        <color rgb="FF1155CC"/>
        <u/>
      </rPr>
      <t>https://www.instagram.com/p/DPOUnaRkfjy/</t>
    </r>
    <r>
      <rPr/>
      <t xml:space="preserve"> </t>
    </r>
  </si>
  <si>
    <t>Semana 03/11</t>
  </si>
  <si>
    <r>
      <rPr/>
      <t xml:space="preserve">Repost Santarosatile: </t>
    </r>
    <r>
      <rPr>
        <color rgb="FF1155CC"/>
        <u/>
      </rPr>
      <t>https://www.instagram.com/p/DPaOMSekeYG/</t>
    </r>
    <r>
      <rPr/>
      <t xml:space="preserve"> </t>
    </r>
  </si>
  <si>
    <t>Semana 10/11</t>
  </si>
  <si>
    <r>
      <rPr/>
      <t xml:space="preserve">Repost Lab88Revestimentos : </t>
    </r>
    <r>
      <rPr>
        <color rgb="FF1155CC"/>
        <u/>
      </rPr>
      <t>https://www.instagram.com/p/DPRXbbpFbwo/</t>
    </r>
  </si>
  <si>
    <t>Semana 17/11</t>
  </si>
  <si>
    <r>
      <rPr/>
      <t xml:space="preserve">Repost JCTile: </t>
    </r>
    <r>
      <rPr>
        <color rgb="FF1155CC"/>
        <u/>
      </rPr>
      <t>https://www.instagram.com/p/DPgUszoka_D/</t>
    </r>
    <r>
      <rPr/>
      <t xml:space="preserve"> </t>
    </r>
  </si>
  <si>
    <t>Stories varias de : PRIME, ventosas de succion, banco trabajo infinity + jornadas/demo day (preguntar si hay)</t>
  </si>
  <si>
    <t>Marta / Patricia</t>
  </si>
  <si>
    <r>
      <rPr/>
      <t xml:space="preserve">Repost JC Tile: </t>
    </r>
    <r>
      <rPr>
        <color rgb="FF1155CC"/>
        <u/>
      </rPr>
      <t>https://www.instagram.com/p/DP3jR_7EUkt/</t>
    </r>
    <r>
      <rPr/>
      <t xml:space="preserve"> </t>
    </r>
  </si>
  <si>
    <t>Semana 01/12</t>
  </si>
  <si>
    <r>
      <rPr/>
      <t xml:space="preserve">Respost: </t>
    </r>
    <r>
      <rPr>
        <color rgb="FF1155CC"/>
        <u/>
      </rPr>
      <t>https://www.instagram.com/reel/DOuQS1EiagM/?igsh=aWVqbjZtajV4dGRu</t>
    </r>
    <r>
      <rPr/>
      <t xml:space="preserve"> </t>
    </r>
  </si>
  <si>
    <t>Semana 08/12</t>
  </si>
  <si>
    <r>
      <rPr/>
      <t xml:space="preserve">Repost </t>
    </r>
    <r>
      <rPr>
        <color rgb="FF1155CC"/>
        <u/>
      </rPr>
      <t>https://www.instagram.com/p/DOzdmk0CcuX/</t>
    </r>
    <r>
      <rPr/>
      <t xml:space="preserve">  </t>
    </r>
  </si>
  <si>
    <t>Semana 15/12</t>
  </si>
  <si>
    <r>
      <rPr/>
      <t xml:space="preserve">Repost:  </t>
    </r>
    <r>
      <rPr>
        <color rgb="FF1155CC"/>
        <u/>
      </rPr>
      <t>https://www.instagram.com/reel/C8ISRRzJ2XP/?igsh=ZDF1eHQxMXE4N3c3</t>
    </r>
    <r>
      <rPr/>
      <t xml:space="preserve">      </t>
    </r>
  </si>
  <si>
    <t>Semana 22/12</t>
  </si>
  <si>
    <r>
      <rPr/>
      <t xml:space="preserve">Repost: </t>
    </r>
    <r>
      <rPr>
        <color rgb="FF1155CC"/>
        <u/>
      </rPr>
      <t>https://www.instagram.com/reel/DO-5eDqjuRE/?igsh=bThiNGJrM2o2cW9r</t>
    </r>
    <r>
      <rPr/>
      <t xml:space="preserve">    </t>
    </r>
  </si>
  <si>
    <t>Semana 29/12</t>
  </si>
  <si>
    <t>Fechas especiales Cortag USA 2025</t>
  </si>
  <si>
    <t>Evento</t>
  </si>
  <si>
    <t>Tipología</t>
  </si>
  <si>
    <t>Representativo</t>
  </si>
  <si>
    <t>1 de enero</t>
  </si>
  <si>
    <t>New Year's Day</t>
  </si>
  <si>
    <t>Fecha Nacional Oficial</t>
  </si>
  <si>
    <t>20 de enero</t>
  </si>
  <si>
    <t>Martin Luther King Jr. Day</t>
  </si>
  <si>
    <t>14 de febrero</t>
  </si>
  <si>
    <t>San Valentín (St. Valentine's Day)</t>
  </si>
  <si>
    <t>Fecha Comercial</t>
  </si>
  <si>
    <t>17 de febrero</t>
  </si>
  <si>
    <t>Presidents' Day</t>
  </si>
  <si>
    <t>17 de marzo</t>
  </si>
  <si>
    <t>Día de San Patricio (St. Patrick's Day)</t>
  </si>
  <si>
    <t>Fecha Cultural</t>
  </si>
  <si>
    <t>4 de marzo</t>
  </si>
  <si>
    <t>Día Mundial de la Ingeniería</t>
  </si>
  <si>
    <t>Fecha Mundial</t>
  </si>
  <si>
    <t>8 de marzo</t>
  </si>
  <si>
    <t>Día Internacional de la Mujer</t>
  </si>
  <si>
    <t>Fecha Internacional</t>
  </si>
  <si>
    <t>22 de marzo</t>
  </si>
  <si>
    <t>Día Mundial del Agua</t>
  </si>
  <si>
    <t>20 de abril</t>
  </si>
  <si>
    <t>Easter Day (Pascua)</t>
  </si>
  <si>
    <t>22 de abril</t>
  </si>
  <si>
    <t>Día de la Tierra</t>
  </si>
  <si>
    <t>Mayo</t>
  </si>
  <si>
    <t xml:space="preserve">Mes Nacional de la Seguridad en la Construcción </t>
  </si>
  <si>
    <t>11 de mayo</t>
  </si>
  <si>
    <t>Día de la Madre</t>
  </si>
  <si>
    <t>26 de mayo</t>
  </si>
  <si>
    <t>Día de los Caídos (Memorial Day)</t>
  </si>
  <si>
    <t>Depende</t>
  </si>
  <si>
    <t>15 de junio</t>
  </si>
  <si>
    <t>Día del Padre</t>
  </si>
  <si>
    <t>19 de junio</t>
  </si>
  <si>
    <t>Juneteenth Day</t>
  </si>
  <si>
    <t>4 de julio</t>
  </si>
  <si>
    <t>Día de la Independencia</t>
  </si>
  <si>
    <t>13 de julio</t>
  </si>
  <si>
    <t>Día del Trabajador Eléctrico</t>
  </si>
  <si>
    <t>2 de septiembre</t>
  </si>
  <si>
    <t>Día del Trabajo (Labor Day)</t>
  </si>
  <si>
    <t>7 de octubre</t>
  </si>
  <si>
    <t>Día Mundial de la Arquitectura</t>
  </si>
  <si>
    <t>13 de octubre</t>
  </si>
  <si>
    <t>Día de la Raza (Columbus Day)</t>
  </si>
  <si>
    <t>31 de octubre</t>
  </si>
  <si>
    <t>Halloween</t>
  </si>
  <si>
    <t>11 de noviembre</t>
  </si>
  <si>
    <t>Día de los Veteranos</t>
  </si>
  <si>
    <t>28 de noviembre</t>
  </si>
  <si>
    <t>Día de Acción de Gracias (Thanksgiving Day)</t>
  </si>
  <si>
    <t>2 de diciembre</t>
  </si>
  <si>
    <t>Cyber Monday</t>
  </si>
  <si>
    <t>25 de diciembre</t>
  </si>
  <si>
    <t>Christmas Day</t>
  </si>
  <si>
    <t>31 de diciembre</t>
  </si>
  <si>
    <t>Víspera de Año Nuevo</t>
  </si>
  <si>
    <t>Otras fechas no oficales (no confirmadas)</t>
  </si>
  <si>
    <t>5 de agosto</t>
  </si>
  <si>
    <t>Día Nacional de los Trabajadores de la Construcción</t>
  </si>
  <si>
    <t>Fecha del Sector</t>
  </si>
  <si>
    <t>16 de septiembre</t>
  </si>
  <si>
    <t>Día Nacional del Trabajador de Techos</t>
  </si>
  <si>
    <t>22 de septiembre</t>
  </si>
  <si>
    <t>Día Nacional del Contratista Independiente</t>
  </si>
  <si>
    <t>Día Nacional de los Fabricantes</t>
  </si>
  <si>
    <t>Nombre real</t>
  </si>
  <si>
    <t>Instagram</t>
  </si>
  <si>
    <t>Estado</t>
  </si>
  <si>
    <t>Seguidores T126</t>
  </si>
  <si>
    <t>Seguidores Final T126</t>
  </si>
  <si>
    <t>Reel 1 (link)</t>
  </si>
  <si>
    <t>Views Reel 1</t>
  </si>
  <si>
    <t xml:space="preserve"> Reel 2 (link)</t>
  </si>
  <si>
    <t>Views Reel 2</t>
  </si>
  <si>
    <t>Stories (2 mín.)</t>
  </si>
  <si>
    <t>OK mínimos</t>
  </si>
  <si>
    <t>Total views</t>
  </si>
  <si>
    <t xml:space="preserve">Story 1 obligatoria (captura/link) </t>
  </si>
  <si>
    <t>Story 2 obligatoria (captura/link)</t>
  </si>
  <si>
    <t>Activo</t>
  </si>
  <si>
    <r>
      <rPr>
        <color rgb="FF1155CC"/>
        <u/>
      </rPr>
      <t>https://www.instagram.com/p/DTopAT9jZHY/</t>
    </r>
    <r>
      <rPr/>
      <t xml:space="preserve"> </t>
    </r>
  </si>
  <si>
    <t xml:space="preserve">Dumitru Guleac </t>
  </si>
  <si>
    <t xml:space="preserve">@dg_pro_remodeling_llc </t>
  </si>
  <si>
    <t>14 700</t>
  </si>
  <si>
    <t>Contenido adicional (no obligatorio)</t>
  </si>
  <si>
    <t>Colaborador</t>
  </si>
  <si>
    <t>Reel Extra 1 (link)</t>
  </si>
  <si>
    <t>Reel Extra 2 (link)</t>
  </si>
  <si>
    <t>Reel Extra 3 (link)</t>
  </si>
  <si>
    <t>Reel Extra 4 (link)</t>
  </si>
  <si>
    <t>Reel Extra 5 (link)</t>
  </si>
  <si>
    <t>Story 3 extra (captura/link)</t>
  </si>
  <si>
    <t>Story 4 extra (captura/link)</t>
  </si>
  <si>
    <t>Story 5 extra (captura/link)</t>
  </si>
  <si>
    <t>https://www.instagram.com/p/DSICTEADnoN/</t>
  </si>
  <si>
    <t>https://www.instagram.com/p/DSZ_VFNDnO3/</t>
  </si>
  <si>
    <r>
      <rPr>
        <color rgb="FF1155CC"/>
        <u/>
      </rPr>
      <t>https://www.instagram.com/p/DSaGSPkDoCE/</t>
    </r>
    <r>
      <rPr/>
      <t xml:space="preserve"> (se aprecia poco)</t>
    </r>
  </si>
  <si>
    <t>Oziel Arce</t>
  </si>
  <si>
    <t>Observaciones</t>
  </si>
  <si>
    <t>Calidad contenido</t>
  </si>
  <si>
    <t>¿Renovar?</t>
  </si>
  <si>
    <t>Engagement percibido</t>
  </si>
  <si>
    <t>☐ Sí / ☐ No</t>
  </si>
  <si>
    <t>Medio / Alto / Bajo</t>
  </si>
  <si>
    <t>Tema</t>
  </si>
  <si>
    <t>Detalles</t>
  </si>
  <si>
    <t>Ejemplo/Inspiración</t>
  </si>
  <si>
    <t xml:space="preserve">
OBJETIVOS CORTAG 2024
</t>
  </si>
  <si>
    <t xml:space="preserve"> Nuevos productos para cubrir todas las necesidades del profesional
        . Cada día más cerca del profesional
        . Cada día más presente en la distribución nacional
        . Queremos conocerte, queremos que nos conozcas
        . Prueba una Cortag y compara
</t>
  </si>
  <si>
    <t xml:space="preserve">VALORES CORTAG
</t>
  </si>
  <si>
    <t xml:space="preserve">. Calidad
. Innovación
. Durabilidad y Fiabilidad
. Diseño robusto y simple
. Prestaciones
</t>
  </si>
  <si>
    <t xml:space="preserve">VENTAJAS CORTAG
</t>
  </si>
  <si>
    <t xml:space="preserve">. la garantía más amplia del mercado, 3 + 3 años
        . Innovación pensada para el profesional
        . Rentabilidad y eficiencia máxima
        . Durabilidad a toda prueba
</t>
  </si>
  <si>
    <t>CORTAG EXPERT aún no disponible en USA</t>
  </si>
  <si>
    <t>Sostenibilidad CORTAG</t>
  </si>
  <si>
    <t>Gamas y productos &gt; Mezcladoras Eléctricas</t>
  </si>
  <si>
    <t>Mezcladoras Eléctricas
Mezcladora – EHM 180 
Mezcladora – EHM 160 (y disponible en formato DUO)</t>
  </si>
  <si>
    <t xml:space="preserve">Gamas y prodcutos &gt; Cortadoras Eléctricas </t>
  </si>
  <si>
    <t>Cortadoras Eléctricas 
Cortador Eléctrico - Zapp Titan 1550 (disponible también en 1250)
Cortador Zapp G2 (para trabajos ligeros)</t>
  </si>
  <si>
    <t xml:space="preserve">Gamas y prodtuctos &gt; Corte Manual Azulejo </t>
  </si>
  <si>
    <t xml:space="preserve">Corte Manual Azulejo &gt; para trabajos ocasionales 
Cortador Manual - MEGA
Cortador Manual - SUPER
Cortador Manual - PEC
Cortador Manual - PRACTIC
</t>
  </si>
  <si>
    <t>Cortag Europe (esta linea no interesa en USA)</t>
  </si>
  <si>
    <t xml:space="preserve">ACERCA DE CORTAG
</t>
  </si>
  <si>
    <t xml:space="preserve">Líderes en América, con sede en Brasil y filiales en USA, Europa y Asia
        . 29 años de experiencia y en constante evolución
        . Gama amplia y completa para el colocador
        . Durabilidad incomparable
        . Garantía XL, 3 + 3 años
</t>
  </si>
  <si>
    <t>CATÁLOGO 2024</t>
  </si>
  <si>
    <t>71 nuevas referencias en el catálogo 2024 con 10 nuevas familias: mesa para los grandes formatos, nivelación rosca, nivelación de ángulo, mini cuña, disco de lámina, disco de desbaste, muela cónica, broca de fresado, herramientas para yeso, paletín para acabado</t>
  </si>
  <si>
    <t>Cortag Europe</t>
  </si>
  <si>
    <t>Entrevisa André Ferreteria y Brigolaje (C de Comunicación)</t>
  </si>
  <si>
    <t xml:space="preserve">Herramientas claves para ... XXX </t>
  </si>
  <si>
    <t>Carrusel con herramientas para yesero, para alicatar.. etc</t>
  </si>
  <si>
    <t>(@belllotaeurope)</t>
  </si>
  <si>
    <t>Tips para aplicación caso real &gt; ¿Cómo aplicar correctamente el sistema de nivelación?</t>
  </si>
  <si>
    <t xml:space="preserve">(consulta en el chat @thathtileguy ) </t>
  </si>
  <si>
    <t>Dias especiales</t>
  </si>
  <si>
    <t xml:space="preserve">Contenido </t>
  </si>
  <si>
    <t>Sant Valentín</t>
  </si>
  <si>
    <t>Feria Cevisama Valencia 2024</t>
  </si>
  <si>
    <t>Semana 20/02</t>
  </si>
  <si>
    <t xml:space="preserve">Información sobre Feria Cesisama - Gran Formato Recomendación - Catálogo 2024 </t>
  </si>
  <si>
    <t>Enviado</t>
  </si>
  <si>
    <t>Post- Feria Cevisama 2024</t>
  </si>
  <si>
    <t xml:space="preserve">Semana 04/03 </t>
  </si>
  <si>
    <t>Resumen Cortag Cevisama - Noticia Ganador Sorteo (a confirmar) - Nuevo Catálogo 2024 - Gama Herramientas para corte ( Informações de produtos) - Cortag con la distribución - Cortar líder mercado en América (más información en doc. propuesta newsletter)</t>
  </si>
  <si>
    <t>Cecofersa (solicitada por Cortag)</t>
  </si>
  <si>
    <t>Semana 11/03</t>
  </si>
  <si>
    <t>Promociones especiales para dsitribuïdores/clientes | Sustituye a la de la semana 08/04 de Abril</t>
  </si>
  <si>
    <t>Cybersemana de BdB (solicitada por Cortag)</t>
  </si>
  <si>
    <t>20/03 Primavera</t>
  </si>
  <si>
    <t>Newsletter General a clientes distribución</t>
  </si>
  <si>
    <t>Semana 08/04</t>
  </si>
  <si>
    <t>En su lugar enviamos la de Cecofersa / En su lugar enviamos la de Cybersemana de BdB</t>
  </si>
  <si>
    <t>Descartada</t>
  </si>
  <si>
    <t>BigMat Day 17 y 18/04</t>
  </si>
  <si>
    <t>Semana 15/04</t>
  </si>
  <si>
    <t>Enviada</t>
  </si>
  <si>
    <t>Semana Santa</t>
  </si>
  <si>
    <t>Feria Pre-Tektonika (usuarios y otra a distribución)</t>
  </si>
  <si>
    <t>Semana 22/04</t>
  </si>
  <si>
    <t>Feria Post Tektonika (usuarios y otra a distribución)</t>
  </si>
  <si>
    <t>Dia de la madre</t>
  </si>
  <si>
    <t>20/06 Verano</t>
  </si>
  <si>
    <t>Newsletter General a usuarios registrados &gt; Campañas Insite Web de Captación de Usuarios registrados</t>
  </si>
  <si>
    <t>No se envia</t>
  </si>
  <si>
    <t>Newsletter General a usuarios registrados</t>
  </si>
  <si>
    <t>Feria Ibricks Experience (virtual)</t>
  </si>
  <si>
    <t>Newsletter General a clientes distribuición España</t>
  </si>
  <si>
    <t>MasterClass XXL</t>
  </si>
  <si>
    <t>Newsletter General clientes España</t>
  </si>
  <si>
    <t xml:space="preserve">Newsletter General a clientes distribuición España </t>
  </si>
  <si>
    <t>30/09 al 03/10 Feria Batimat</t>
  </si>
  <si>
    <t>Newsletter PreBatimat a base de datos usuarios (Francia)</t>
  </si>
  <si>
    <t>Ok. Programado por Cortag BR</t>
  </si>
  <si>
    <t>Feria CECOFERSA (virtual) 23/09 hasta 06/10</t>
  </si>
  <si>
    <t>Ok. Programada</t>
  </si>
  <si>
    <r>
      <rPr>
        <rFont val="Arial"/>
        <color theme="1"/>
      </rPr>
      <t xml:space="preserve">Newsletter </t>
    </r>
    <r>
      <rPr>
        <rFont val="Arial"/>
        <b/>
        <color theme="1"/>
      </rPr>
      <t>BIGMAT</t>
    </r>
    <r>
      <rPr>
        <rFont val="Arial"/>
        <color theme="1"/>
      </rPr>
      <t>: Folleto de otoño (todo el mes de octubre)</t>
    </r>
  </si>
  <si>
    <t xml:space="preserve">Newsletter clientes BiGMAT </t>
  </si>
  <si>
    <t>Semana 01/10</t>
  </si>
  <si>
    <t>FERIA BATIMAT</t>
  </si>
  <si>
    <t>Newsletter PostBatimat a base de datos distribución/asistentes</t>
  </si>
  <si>
    <t>Newsletter Factor PRO (Feria virtual Otoño 10º aniversario todo el mes octubre)</t>
  </si>
  <si>
    <t>Newsletter General a clientes Factor Pro</t>
  </si>
  <si>
    <t>Ok programado</t>
  </si>
  <si>
    <t>Newsletter Las Rias: Folleto Rias Profesional Otoño - todo el mes de octube</t>
  </si>
  <si>
    <t>Newsletter General a clientes distribuición España  (Galicia?)</t>
  </si>
  <si>
    <t xml:space="preserve">Pendiente </t>
  </si>
  <si>
    <t>Newsletter BIGMAT: Folleto de otoño (todo el mes de octubre)</t>
  </si>
  <si>
    <t>Newsletter clientes BIGMAT (recordatorio mitad mes)</t>
  </si>
  <si>
    <t>Ok Programado</t>
  </si>
  <si>
    <t>INDUSTRIAL PRO (Metaverso)</t>
  </si>
  <si>
    <t>Newsletter clientes Industrial Pro</t>
  </si>
  <si>
    <t>Grupo BDB Cybersemana (21 al 28 Octubre)</t>
  </si>
  <si>
    <t>Newsletter clientes BDB</t>
  </si>
  <si>
    <t xml:space="preserve">Cortag Expert/Garantía </t>
  </si>
  <si>
    <t>Newsletter clientes Espanha</t>
  </si>
  <si>
    <t>(Pendiente)</t>
  </si>
  <si>
    <t>GCI - Asociados Otroño</t>
  </si>
  <si>
    <t>Newsletter clientes GCI</t>
  </si>
  <si>
    <t>Newsletter General a clientes distribución &gt; Campañas Insite Web de Captación de Usuarios registrados</t>
  </si>
  <si>
    <t>Semana 04/10</t>
  </si>
  <si>
    <t>Semana 18/10</t>
  </si>
  <si>
    <t>22/12 Invierno</t>
  </si>
  <si>
    <t>Navidad</t>
  </si>
  <si>
    <t>T3</t>
  </si>
  <si>
    <t>T4</t>
  </si>
  <si>
    <t>Variación T3 - T4</t>
  </si>
  <si>
    <t>INSTAGRAM</t>
  </si>
  <si>
    <t>Seguidores</t>
  </si>
  <si>
    <t>Alcance</t>
  </si>
  <si>
    <t>Interacciones</t>
  </si>
  <si>
    <t>Visualizaciones</t>
  </si>
  <si>
    <t>Vistitas al pefil</t>
  </si>
  <si>
    <t>Link Clicks</t>
  </si>
  <si>
    <t>Engagement Rate</t>
  </si>
  <si>
    <t>Content (posts/reels/stories)</t>
  </si>
  <si>
    <t>FACEBOOK</t>
  </si>
  <si>
    <t>Visitas al perfil</t>
  </si>
  <si>
    <t>Contenido (Total post/reels/stories)</t>
  </si>
  <si>
    <t xml:space="preserve">Usario </t>
  </si>
  <si>
    <t>@jc_tile</t>
  </si>
  <si>
    <t>Comentario Raul: Posts esporádicos con items CORTAG, ya le enviamos una cortadora y algunos accesorios anteriormente.</t>
  </si>
  <si>
    <t>@tileguyhtx</t>
  </si>
  <si>
    <t>Stories y menciones anteriores</t>
  </si>
  <si>
    <t xml:space="preserve">@bcrflooring </t>
  </si>
  <si>
    <t>Stories y menciones anteriores - https://www.instagram.com/reel/CslmYD0tcbc/?igsh=YzYxeWthYTVtNmkw</t>
  </si>
  <si>
    <t>@finaltouchtileandstone</t>
  </si>
  <si>
    <t>stories</t>
  </si>
  <si>
    <t>@miamifloors</t>
  </si>
  <si>
    <t>no postea mucho con la marca, pero es un admirador que tiene potencial para partnerships</t>
  </si>
  <si>
    <t>@r.i_tiling_specialists</t>
  </si>
  <si>
    <t>Important account</t>
  </si>
  <si>
    <t>@flooranddecor</t>
  </si>
  <si>
    <r>
      <rPr/>
      <t xml:space="preserve">Highlight de colab con instaladores </t>
    </r>
    <r>
      <rPr>
        <color rgb="FF1155CC"/>
        <u/>
      </rPr>
      <t>https://www.instagram.com/s/aGlnaGxpZ2h0OjE3ODQ3OTU1MTc5MTAzNzkx?igsh=d3hhMWdreTdsc2Y%3D</t>
    </r>
  </si>
  <si>
    <t xml:space="preserve">@wellsaanttos
</t>
  </si>
  <si>
    <t>Algun vídeo con productos Cortag, tiene más de 130k de seguidores (es azulejista)</t>
  </si>
  <si>
    <t>Documentos</t>
  </si>
  <si>
    <t>Plan de Contenido Redes Sociales - Cortag USA.pdf</t>
  </si>
  <si>
    <t>Versión reducida - Plan de Contenido Redes Sociales - Cortag USA.pdf</t>
  </si>
  <si>
    <t>Validaciones y correcciones (descripciones GMB y Facebook) RRSS Cortag USA</t>
  </si>
  <si>
    <t xml:space="preserve">"G:\Unidades compartidas\Team4digital compartit\Projectes\CORTAG\CORTAG USA\Redes Sociales" </t>
  </si>
  <si>
    <t>Noviembre</t>
  </si>
  <si>
    <t>Diciembre</t>
  </si>
  <si>
    <t>Total T4</t>
  </si>
  <si>
    <t>TOTAL Anual 2025</t>
  </si>
  <si>
    <t>Variación Nov-Dic</t>
  </si>
  <si>
    <t>Enero</t>
  </si>
  <si>
    <t>Febrero</t>
  </si>
  <si>
    <t>Marzo</t>
  </si>
  <si>
    <t>Total T1</t>
  </si>
  <si>
    <t>Variación T4 vs T1</t>
  </si>
  <si>
    <t>APR</t>
  </si>
  <si>
    <t>MAY</t>
  </si>
  <si>
    <t>JUN</t>
  </si>
  <si>
    <t>Total 2</t>
  </si>
  <si>
    <t>Variación T2 vs T1</t>
  </si>
  <si>
    <t>JUL</t>
  </si>
  <si>
    <t>AUG</t>
  </si>
  <si>
    <t>SEP</t>
  </si>
  <si>
    <t>Total 3</t>
  </si>
  <si>
    <t>Variación T3 vs T2</t>
  </si>
  <si>
    <t>OCT</t>
  </si>
  <si>
    <t>NOV</t>
  </si>
  <si>
    <t>DEC</t>
  </si>
  <si>
    <t>Total 2025</t>
  </si>
  <si>
    <t>Variación T4 vs T3</t>
  </si>
  <si>
    <t>Evolución de T1 a T4</t>
  </si>
  <si>
    <t>JAN</t>
  </si>
  <si>
    <t>FEB</t>
  </si>
  <si>
    <t>MAR</t>
  </si>
  <si>
    <t>Noviembre-Diciembre</t>
  </si>
  <si>
    <t>T1 2025</t>
  </si>
  <si>
    <t>Variación Periodo Anterior vs T1</t>
  </si>
  <si>
    <t>T2 2025</t>
  </si>
  <si>
    <t>Variación T1 vs T2</t>
  </si>
  <si>
    <t>GOOGLE MY BUSINESS</t>
  </si>
  <si>
    <t>Llamadas</t>
  </si>
  <si>
    <t>Persona que han visto el perfil</t>
  </si>
  <si>
    <t>Búsquedas que han mostrado el perfil</t>
  </si>
  <si>
    <t>Direcciones hacia el lugar</t>
  </si>
  <si>
    <t>Webste Clicks</t>
  </si>
  <si>
    <t>Reviews</t>
  </si>
  <si>
    <t>Full Name</t>
  </si>
  <si>
    <t>Email</t>
  </si>
  <si>
    <t>State</t>
  </si>
  <si>
    <t>Phone Number</t>
  </si>
  <si>
    <t xml:space="preserve">Date </t>
  </si>
  <si>
    <t>Additional info</t>
  </si>
  <si>
    <t>Approached</t>
  </si>
  <si>
    <t>Approached by</t>
  </si>
  <si>
    <t>Marcileni Ih Juvercino Ferreira</t>
  </si>
  <si>
    <t>ferreirajuvercino81@gmail.com</t>
  </si>
  <si>
    <t>MA</t>
  </si>
  <si>
    <t>(781) 990-9587</t>
  </si>
  <si>
    <t>Juan</t>
  </si>
  <si>
    <t>Michael Dahle</t>
  </si>
  <si>
    <t>mdahle36@gmail.com</t>
  </si>
  <si>
    <t>PA</t>
  </si>
  <si>
    <t>(814) 493-1713</t>
  </si>
  <si>
    <t>Paul</t>
  </si>
  <si>
    <t>Robert Enciso</t>
  </si>
  <si>
    <t>e.t.tiles@hotmail.com</t>
  </si>
  <si>
    <t>CA</t>
  </si>
  <si>
    <t>(818) 472-5355</t>
  </si>
  <si>
    <t>Marco Antonio</t>
  </si>
  <si>
    <t>antonioscons@gmail.com</t>
  </si>
  <si>
    <t>(323) 600-5001</t>
  </si>
  <si>
    <t xml:space="preserve">I'm in Los Angeles.  you ship ?
</t>
  </si>
  <si>
    <t>Sal Hernandez</t>
  </si>
  <si>
    <t>sal.ing@live.com</t>
  </si>
  <si>
    <t>(818) 458-2138</t>
  </si>
  <si>
    <t>Michael Marucci</t>
  </si>
  <si>
    <t>mmar00272@gmail.com</t>
  </si>
  <si>
    <t>NJ</t>
  </si>
  <si>
    <t>(201) 953-2811</t>
  </si>
  <si>
    <t>Chris McGarrah</t>
  </si>
  <si>
    <t>chrismcgarrah@gmail.com</t>
  </si>
  <si>
    <t>AR</t>
  </si>
  <si>
    <t>(479) 530-1755</t>
  </si>
  <si>
    <t>12/15/25</t>
  </si>
  <si>
    <t>Vivianne</t>
  </si>
  <si>
    <t>Luis Hernandez</t>
  </si>
  <si>
    <t>mhernandez1299@gmail.com</t>
  </si>
  <si>
    <t>TX</t>
  </si>
  <si>
    <t>Luis Delgado</t>
  </si>
  <si>
    <t>luisd.r.76@hotmail.com</t>
  </si>
  <si>
    <t>12/18/25</t>
  </si>
  <si>
    <t>Mekkah</t>
  </si>
  <si>
    <t>mgood003@yahoo.com</t>
  </si>
  <si>
    <t>TN</t>
  </si>
  <si>
    <t>Contactado por</t>
  </si>
  <si>
    <t>Día</t>
  </si>
  <si>
    <t>Alex Pinho</t>
  </si>
  <si>
    <t>alexpinho529@gmail.com</t>
  </si>
  <si>
    <t>(267) 597-7282</t>
  </si>
  <si>
    <t>10/16/25</t>
  </si>
  <si>
    <t>Alpine Rugs</t>
  </si>
  <si>
    <t>hfaz@aol.com</t>
  </si>
  <si>
    <t>Bill Bletsch</t>
  </si>
  <si>
    <t>Golferguy11153@gmail.com</t>
  </si>
  <si>
    <t>OH</t>
  </si>
  <si>
    <t>1 440-785-5120</t>
  </si>
  <si>
    <t>Brad Barton</t>
  </si>
  <si>
    <t>brbarton@gmail.com</t>
  </si>
  <si>
    <t>(254) 216-2819</t>
  </si>
  <si>
    <t>Brent Morris</t>
  </si>
  <si>
    <t>bmorris631@proton.me</t>
  </si>
  <si>
    <t>FL</t>
  </si>
  <si>
    <t>(863) 445-1028</t>
  </si>
  <si>
    <t>Dio</t>
  </si>
  <si>
    <t>Chau Le</t>
  </si>
  <si>
    <t>le.chaudinh@yahoo.com</t>
  </si>
  <si>
    <t>(714) 383-5883</t>
  </si>
  <si>
    <t>Celio Silva</t>
  </si>
  <si>
    <t>celioslva13@gmail.com</t>
  </si>
  <si>
    <t>CT</t>
  </si>
  <si>
    <t>Daniel Ortega</t>
  </si>
  <si>
    <t>Danieloreyes@yahoo.com</t>
  </si>
  <si>
    <t>NV</t>
  </si>
  <si>
    <t>(702) 358-4179</t>
  </si>
  <si>
    <t>Diego Hernandez</t>
  </si>
  <si>
    <t>dh656627@gmail.com</t>
  </si>
  <si>
    <t>IN</t>
  </si>
  <si>
    <t>(260) 715-6972</t>
  </si>
  <si>
    <t>Diego Ferreira</t>
  </si>
  <si>
    <t>calebim1212@gmail.com</t>
  </si>
  <si>
    <t>GA</t>
  </si>
  <si>
    <t>Darryl James</t>
  </si>
  <si>
    <t>darryljames165@gmail.com</t>
  </si>
  <si>
    <t>MI</t>
  </si>
  <si>
    <t>Edwin Sepulveda</t>
  </si>
  <si>
    <t>sepulveda.edwin@gmail.com</t>
  </si>
  <si>
    <t>Barceloneta</t>
  </si>
  <si>
    <t>(571) 575-4861</t>
  </si>
  <si>
    <t>Esteban Diaz</t>
  </si>
  <si>
    <t>estebanpia0704@gmail.com</t>
  </si>
  <si>
    <t>OK</t>
  </si>
  <si>
    <t>1 918-902-2166</t>
  </si>
  <si>
    <t>Fernando Borja</t>
  </si>
  <si>
    <t>ferndb21@hotmail.com</t>
  </si>
  <si>
    <t>(860) 622-9610</t>
  </si>
  <si>
    <t>grebyl</t>
  </si>
  <si>
    <t>grebylespinoza_19@hotmail.com</t>
  </si>
  <si>
    <t>Homer Blake</t>
  </si>
  <si>
    <t>Homerblake@ymail.com</t>
  </si>
  <si>
    <t>gsaul soto</t>
  </si>
  <si>
    <t>garcia.galinda@yahoo.com</t>
  </si>
  <si>
    <t>IL</t>
  </si>
  <si>
    <t>Hernan Orozco</t>
  </si>
  <si>
    <t>Patriciohorozco@gmail.com</t>
  </si>
  <si>
    <t>NY</t>
  </si>
  <si>
    <t>10/13/25</t>
  </si>
  <si>
    <t>10/17/25</t>
  </si>
  <si>
    <t>Hector Hernandez</t>
  </si>
  <si>
    <t>davidhector33@hotmail.com</t>
  </si>
  <si>
    <t>(646) 986-4587</t>
  </si>
  <si>
    <t>Jeffer Rivas</t>
  </si>
  <si>
    <t>info.jgrbuilders@gmail.com</t>
  </si>
  <si>
    <t>(561) 720-0213</t>
  </si>
  <si>
    <t>Jeronimo Reyes</t>
  </si>
  <si>
    <t>jerorey77@gmail.com</t>
  </si>
  <si>
    <t>(323) 245-2972</t>
  </si>
  <si>
    <t>10/14/25</t>
  </si>
  <si>
    <t>John Alexander Castañeda</t>
  </si>
  <si>
    <t>johnalexanderc41@gmail.com</t>
  </si>
  <si>
    <t xml:space="preserve">MA </t>
  </si>
  <si>
    <t>10/15/25</t>
  </si>
  <si>
    <t>Juan Delgado</t>
  </si>
  <si>
    <t>juandelgado0059@gmail.com</t>
  </si>
  <si>
    <t>(912) 237-0059</t>
  </si>
  <si>
    <t>Julian Leonardo</t>
  </si>
  <si>
    <t>ld4386457@gmail.com</t>
  </si>
  <si>
    <t>Jerry Cottrell</t>
  </si>
  <si>
    <t>jerrycottrell76@yahoo.com</t>
  </si>
  <si>
    <t>WV</t>
  </si>
  <si>
    <t>M</t>
  </si>
  <si>
    <t>wilmilla81@gmail.com</t>
  </si>
  <si>
    <t>Nicholas Persaud</t>
  </si>
  <si>
    <t>nickpersaud3630@gmail.com</t>
  </si>
  <si>
    <t>(646) 648-0755</t>
  </si>
  <si>
    <t>Noel Ignacio</t>
  </si>
  <si>
    <t>noel05643@gmail.com</t>
  </si>
  <si>
    <t>HI</t>
  </si>
  <si>
    <t>Raymond Leach</t>
  </si>
  <si>
    <t>thelegendleach@gmail.com</t>
  </si>
  <si>
    <t>(412) 520-4286</t>
  </si>
  <si>
    <t>Ron Hofer</t>
  </si>
  <si>
    <t>ronhoferlyf@gmail.com</t>
  </si>
  <si>
    <t>Rafael Carabano</t>
  </si>
  <si>
    <t>catirecaracab826@gmail.com</t>
  </si>
  <si>
    <t>Robert Nolan</t>
  </si>
  <si>
    <t>rastarob21@gmail.com</t>
  </si>
  <si>
    <t>CO</t>
  </si>
  <si>
    <t xml:space="preserve"> sal.ing@live.com</t>
  </si>
  <si>
    <t>Scott Henry</t>
  </si>
  <si>
    <t>wshenry10@gmail.com</t>
  </si>
  <si>
    <t>Rick AF Craine</t>
  </si>
  <si>
    <t>diomaracraine@gmail.com</t>
  </si>
  <si>
    <t>NC</t>
  </si>
  <si>
    <t>William Gonsalves Dos Reis</t>
  </si>
  <si>
    <t>ity4000@icloud.com</t>
  </si>
  <si>
    <t>(954) 501-3469</t>
  </si>
  <si>
    <t>William Scott</t>
  </si>
  <si>
    <t>scottwg26@hotmail.com</t>
  </si>
  <si>
    <t>(309) 340-5464</t>
  </si>
  <si>
    <t xml:space="preserve">Jerry Mdz
</t>
  </si>
  <si>
    <t>juan_gerardo_mendoza@yahoo.com.mx</t>
  </si>
  <si>
    <t>(956) 562-8674</t>
  </si>
  <si>
    <t>10/20/25</t>
  </si>
  <si>
    <t>Mike Mazza</t>
  </si>
  <si>
    <t>ateamflooringcovering@gmail.com</t>
  </si>
  <si>
    <t>VT</t>
  </si>
  <si>
    <t>(802) 370-1388</t>
  </si>
  <si>
    <t>Marcelo Marques</t>
  </si>
  <si>
    <t>marcelociceromarques@gmail.com</t>
  </si>
  <si>
    <t>(973) 741-8757</t>
  </si>
  <si>
    <t>10/18/25</t>
  </si>
  <si>
    <t>Tadashi Spencer</t>
  </si>
  <si>
    <t>raiders92571@aol.com</t>
  </si>
  <si>
    <t>ME</t>
  </si>
  <si>
    <t xml:space="preserve"> (207) 478-8834</t>
  </si>
  <si>
    <t>Jaime nunez</t>
  </si>
  <si>
    <t>jaimenunez06301976@gmail.com</t>
  </si>
  <si>
    <t>(616) 490-4911</t>
  </si>
  <si>
    <t xml:space="preserve">Cynton Greer
</t>
  </si>
  <si>
    <t xml:space="preserve">cyntongreer1@gmale.com
</t>
  </si>
  <si>
    <t xml:space="preserve">Robson Sena
</t>
  </si>
  <si>
    <t xml:space="preserve">robson.r.sena@hotmail.com
</t>
  </si>
  <si>
    <t>MG</t>
  </si>
  <si>
    <t>Josue Francisco</t>
  </si>
  <si>
    <t>josue_foliveira@hotmail.com</t>
  </si>
  <si>
    <t>Christine Shonnet Harold Persaud</t>
  </si>
  <si>
    <t>myprecisionauto@aol.com</t>
  </si>
  <si>
    <t>(321) 231-1149</t>
  </si>
  <si>
    <t>10/21/25</t>
  </si>
  <si>
    <t>Ramon h madrigal</t>
  </si>
  <si>
    <t>blancaivon2003@gmail.com</t>
  </si>
  <si>
    <t>(970) 534-1330</t>
  </si>
  <si>
    <t>Daniel Munoz</t>
  </si>
  <si>
    <t>dmundoz41@gmail.com</t>
  </si>
  <si>
    <t>NM</t>
  </si>
  <si>
    <t>Joshua Lupuo</t>
  </si>
  <si>
    <t>lupojoshua@yahoo.com</t>
  </si>
  <si>
    <t>Levy Quiroz</t>
  </si>
  <si>
    <t>dukyleon@gmail.com</t>
  </si>
  <si>
    <t>Mark Restauri</t>
  </si>
  <si>
    <t>markrestauri43@gmail.com</t>
  </si>
  <si>
    <t>AL</t>
  </si>
  <si>
    <t>(256) 438-3785</t>
  </si>
  <si>
    <t>10/22/25</t>
  </si>
  <si>
    <t>Rodolfo Enriquez</t>
  </si>
  <si>
    <t>re081216@gmail.com</t>
  </si>
  <si>
    <t xml:space="preserve">Joao De Oliveira
</t>
  </si>
  <si>
    <t>solteirousa2023@gmail.com</t>
  </si>
  <si>
    <t xml:space="preserve">Pjerin Prela
</t>
  </si>
  <si>
    <t>pjerinprela@yahoo.com</t>
  </si>
  <si>
    <t>10/23/25</t>
  </si>
  <si>
    <t>10/27/25</t>
  </si>
  <si>
    <t>Ernesto Diaz</t>
  </si>
  <si>
    <t>ernestod_0421@hotmail.com</t>
  </si>
  <si>
    <t>(786) 447-5791</t>
  </si>
  <si>
    <t xml:space="preserve">Jose Arango
</t>
  </si>
  <si>
    <t>ituango25@gmail.com</t>
  </si>
  <si>
    <t>Mike Bissmann</t>
  </si>
  <si>
    <t>bizzzznyc@msn.com</t>
  </si>
  <si>
    <t>Tyrone Pearson</t>
  </si>
  <si>
    <t>tjh_pearson@msn.com</t>
  </si>
  <si>
    <t>10/24/25</t>
  </si>
  <si>
    <t xml:space="preserve">Milton Águila
</t>
  </si>
  <si>
    <t>milton78gonzalez@gmail.com</t>
  </si>
  <si>
    <t>Middleman</t>
  </si>
  <si>
    <t>devonjosiah41@gmail.com</t>
  </si>
  <si>
    <t>Travis Weber</t>
  </si>
  <si>
    <t>tjweber27@gmail.com</t>
  </si>
  <si>
    <t>IA</t>
  </si>
  <si>
    <t>(319) 930-8189</t>
  </si>
  <si>
    <t>10/25/25</t>
  </si>
  <si>
    <t>Rafael pilarte</t>
  </si>
  <si>
    <t>dbr.ee.uu@gmail.com</t>
  </si>
  <si>
    <t>Tracy Roach</t>
  </si>
  <si>
    <t>tsroach8@aol.com</t>
  </si>
  <si>
    <t>(518) 788-1337</t>
  </si>
  <si>
    <t>Margarito Escalante</t>
  </si>
  <si>
    <t>margarito1974escalante@gmail.com</t>
  </si>
  <si>
    <t>(210) 449-3746</t>
  </si>
  <si>
    <t>10/26/25</t>
  </si>
  <si>
    <t>Humberto Cavazos</t>
  </si>
  <si>
    <t>humbertocg15@gmail.com</t>
  </si>
  <si>
    <t>(956) 330-0388</t>
  </si>
  <si>
    <t>Anthony Carter</t>
  </si>
  <si>
    <t>tonkan106@gmail.com</t>
  </si>
  <si>
    <t>Jorge Andres Muñoz Contreras</t>
  </si>
  <si>
    <t>jamc766@yahoo.es</t>
  </si>
  <si>
    <t>(786) 320-1811</t>
  </si>
  <si>
    <t>Frank Boccia</t>
  </si>
  <si>
    <t>fboccia@aol.com</t>
  </si>
  <si>
    <t>(516) 659-1175</t>
  </si>
  <si>
    <t>Anderson Echegaray</t>
  </si>
  <si>
    <t>aeperu1978@hotmail.com</t>
  </si>
  <si>
    <t>(954) 404-2559</t>
  </si>
  <si>
    <t xml:space="preserve">Roy Manuel </t>
  </si>
  <si>
    <t>manueljr67@gmail.com</t>
  </si>
  <si>
    <t>Francisco Rafael Parra</t>
  </si>
  <si>
    <t>jomald1219@gmail.com</t>
  </si>
  <si>
    <t>AZ</t>
  </si>
  <si>
    <t>10/30/25</t>
  </si>
  <si>
    <t>Fortis Floors</t>
  </si>
  <si>
    <t>floridafinishfloors@yahoo.com</t>
  </si>
  <si>
    <t>(321) 315-9670</t>
  </si>
  <si>
    <t>10/28/25</t>
  </si>
  <si>
    <t xml:space="preserve">Need cost of cutters that will cut 48 inch or more
</t>
  </si>
  <si>
    <t>Giovanny Parra Tapia</t>
  </si>
  <si>
    <t>giovannytapia124@gmail.com</t>
  </si>
  <si>
    <t>(973) 718-0465</t>
  </si>
  <si>
    <t>Nestor Chavez</t>
  </si>
  <si>
    <t>nestorh2002@gmail.com</t>
  </si>
  <si>
    <t>UT</t>
  </si>
  <si>
    <t>Anibal Anibal</t>
  </si>
  <si>
    <t>anibalrequena88@gmail.com</t>
  </si>
  <si>
    <t>(202) 760-8600</t>
  </si>
  <si>
    <t>10/29/25</t>
  </si>
  <si>
    <t>Marco Mendoza</t>
  </si>
  <si>
    <t>mmendoza0622@gmail.com</t>
  </si>
  <si>
    <t>(386) 843-7345</t>
  </si>
  <si>
    <t>Elias Sanchez</t>
  </si>
  <si>
    <t>Eliassj.2024@gmail.com</t>
  </si>
  <si>
    <t>(512) 517-7186</t>
  </si>
  <si>
    <t>Hector Fabio Ramirez Usma</t>
  </si>
  <si>
    <t>fabioram99@hotmail.com</t>
  </si>
  <si>
    <t>(754) 422-6607</t>
  </si>
  <si>
    <t>Boris Orellana</t>
  </si>
  <si>
    <t>cibers.martins2011@gmail.com</t>
  </si>
  <si>
    <t>(323) 542-6561</t>
  </si>
  <si>
    <t>Jose Mendoza</t>
  </si>
  <si>
    <t>joser9395@yahoo.com</t>
  </si>
  <si>
    <t>(203) 928-0197</t>
  </si>
  <si>
    <t>Rick D. Ross</t>
  </si>
  <si>
    <t>rosstile@icloud.com</t>
  </si>
  <si>
    <t>(413) 531-8795</t>
  </si>
  <si>
    <t>Edu Emc</t>
  </si>
  <si>
    <t>eduardomoposita668@gmail.com</t>
  </si>
  <si>
    <t>(862) 298-1762</t>
  </si>
  <si>
    <t>10/31/25</t>
  </si>
  <si>
    <t>Jesus Zuñiga</t>
  </si>
  <si>
    <t>zunigasvla@gmail.com</t>
  </si>
  <si>
    <t>Hilario Garcia</t>
  </si>
  <si>
    <t>repair.remodeling.ceramictile@gmail.com</t>
  </si>
  <si>
    <t>William Vallejo</t>
  </si>
  <si>
    <t>willy.renovations@gmail.com</t>
  </si>
  <si>
    <t>(678) 773-8272</t>
  </si>
  <si>
    <t>Daniel Castaneda</t>
  </si>
  <si>
    <t>rrenovations78@gmail.com</t>
  </si>
  <si>
    <t>(956) 404-1263</t>
  </si>
  <si>
    <t>Margarito Aguas</t>
  </si>
  <si>
    <t>margaritoaguas0@gml.com</t>
  </si>
  <si>
    <t>(213) 424-8063</t>
  </si>
  <si>
    <t>Hector Nunez</t>
  </si>
  <si>
    <t>hectornunez71@live.com</t>
  </si>
  <si>
    <t>VA</t>
  </si>
  <si>
    <t xml:space="preserve"> (571) 345-4916</t>
  </si>
  <si>
    <t>Ramiro Barrera</t>
  </si>
  <si>
    <t>fierro5051@yahoo.com</t>
  </si>
  <si>
    <t>11/17/25</t>
  </si>
  <si>
    <t>Miguel Condor</t>
  </si>
  <si>
    <t>miguelconfor1958@gailmail.com</t>
  </si>
  <si>
    <t xml:space="preserve"> (786) 546-3258</t>
  </si>
  <si>
    <t>Sergio Juarez</t>
  </si>
  <si>
    <t>sergiojuarezmartinez24@gmail.com</t>
  </si>
  <si>
    <t>(479) 381-0088</t>
  </si>
  <si>
    <t>Anderson Clerio</t>
  </si>
  <si>
    <t>and.silva1974@icloud.com</t>
  </si>
  <si>
    <t>Nguyen Danny</t>
  </si>
  <si>
    <t>danthnguyen@gmail.com</t>
  </si>
  <si>
    <t>(626) 926-7141</t>
  </si>
  <si>
    <t>Wedlyne Gilles</t>
  </si>
  <si>
    <t>wedlyne@gmail.com</t>
  </si>
  <si>
    <t>(718) 909-1196</t>
  </si>
  <si>
    <t>Luis Eusse</t>
  </si>
  <si>
    <t>chiceusse@gmail.com</t>
  </si>
  <si>
    <t>(630) 770-1733</t>
  </si>
  <si>
    <t>Ronal Banegas</t>
  </si>
  <si>
    <t>ronaldobanegas1981@gmail.com</t>
  </si>
  <si>
    <t>(754) 422-3732</t>
  </si>
  <si>
    <t>Joelson Dos Santos Cunha</t>
  </si>
  <si>
    <t>joelsondoscunha@gmail.com</t>
  </si>
  <si>
    <t>PB</t>
  </si>
  <si>
    <t>Leyland Pile</t>
  </si>
  <si>
    <t>pileleyland60@gmail.com</t>
  </si>
  <si>
    <t>Luis Gabriel Benitez Saucedo</t>
  </si>
  <si>
    <t>luisbenitez070777@icloud.com</t>
  </si>
  <si>
    <t>(561) 425-0666</t>
  </si>
  <si>
    <t>Orlando Torres</t>
  </si>
  <si>
    <t>orlandot454@gmail.com</t>
  </si>
  <si>
    <t>1 305-726-8066</t>
  </si>
  <si>
    <t>Will Higgs III</t>
  </si>
  <si>
    <t>will_88royale@gmail.com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</si>
</sst>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/mm"/>
    <numFmt numFmtId="165" formatCode="d/m"/>
    <numFmt numFmtId="166" formatCode="dd/mm/yy"/>
    <numFmt numFmtId="167" formatCode="d/m/yy"/>
    <numFmt numFmtId="168" formatCode="[$R$]#,##0.00"/>
    <numFmt numFmtId="169" formatCode="dd/mm/yyyy"/>
    <numFmt numFmtId="170" formatCode="m&quot;/&quot;d&quot;/&quot;yy"/>
  </numFmts>
  <fonts count="51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color rgb="FF000000"/>
      <name val="Arial"/>
    </font>
    <font>
      <b/>
      <color rgb="FF000000"/>
      <name val="Arial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i/>
      <color theme="1"/>
      <name val="Arial"/>
      <scheme val="minor"/>
    </font>
    <font>
      <b/>
      <sz val="14.0"/>
      <color rgb="FF1F4E78"/>
      <name val="Arial"/>
    </font>
    <font>
      <sz val="11.0"/>
      <color rgb="FF000000"/>
      <name val="Calibri"/>
    </font>
    <font>
      <b/>
      <color rgb="FFFFFFFF"/>
      <name val="Arial"/>
    </font>
    <font>
      <u/>
      <sz val="9.0"/>
      <color rgb="FF0563C1"/>
      <name val="Arial"/>
    </font>
    <font>
      <u/>
      <sz val="9.0"/>
      <color rgb="FF0563C1"/>
      <name val="Arial"/>
    </font>
    <font>
      <b/>
      <sz val="11.0"/>
      <color rgb="FFFFFFFF"/>
      <name val="Arial"/>
    </font>
    <font>
      <u/>
      <sz val="9.0"/>
      <color rgb="FF0563C1"/>
      <name val="Arial"/>
    </font>
    <font>
      <u/>
      <sz val="9.0"/>
      <color rgb="FF0000FF"/>
      <name val="Arial"/>
    </font>
    <font>
      <u/>
      <sz val="9.0"/>
      <color rgb="FF0563C1"/>
      <name val="Arial"/>
    </font>
    <font>
      <u/>
      <color rgb="FF0000FF"/>
      <name val="Arial"/>
    </font>
    <font>
      <u/>
      <sz val="11.0"/>
      <color rgb="FF0000FF"/>
      <name val="Calibri"/>
    </font>
    <font>
      <b/>
      <sz val="12.0"/>
      <color rgb="FFFFFFFF"/>
      <name val="Arial"/>
    </font>
    <font/>
    <font>
      <b/>
      <sz val="11.0"/>
      <color rgb="FF1F4E78"/>
      <name val="Arial"/>
    </font>
    <font>
      <u/>
      <color rgb="FF0000FF"/>
      <name val="Arial"/>
    </font>
    <font>
      <u/>
      <color rgb="FF0000FF"/>
      <name val="Arial"/>
    </font>
    <font>
      <b/>
      <sz val="12.0"/>
      <color theme="1"/>
      <name val="Arial"/>
    </font>
    <font>
      <sz val="12.0"/>
      <color theme="1"/>
      <name val="Arial"/>
    </font>
    <font>
      <u/>
      <color rgb="FF0000FF"/>
      <name val="Arial"/>
    </font>
    <font>
      <u/>
      <color rgb="FF0000FF"/>
    </font>
    <font>
      <u/>
      <color rgb="FF0000FF"/>
    </font>
    <font>
      <color rgb="FFFF9900"/>
      <name val="Arial"/>
      <scheme val="minor"/>
    </font>
    <font>
      <sz val="9.0"/>
      <color rgb="FF1F1F1F"/>
      <name val="Arial"/>
    </font>
    <font>
      <u/>
      <color rgb="FF0000FF"/>
    </font>
    <font>
      <color rgb="FF000000"/>
      <name val="Arial"/>
      <scheme val="minor"/>
    </font>
    <font>
      <u/>
      <color rgb="FF0000FF"/>
    </font>
    <font>
      <u/>
      <color rgb="FF0000FF"/>
    </font>
    <font>
      <color theme="1"/>
      <name val="__fkGroteskNeue_598ab8"/>
    </font>
    <font>
      <u/>
      <color rgb="FF0000FF"/>
    </font>
    <font>
      <color rgb="FF4A86E8"/>
      <name val="Arial"/>
      <scheme val="minor"/>
    </font>
    <font>
      <b/>
      <color theme="1"/>
      <name val="Verdana"/>
    </font>
    <font>
      <color theme="1"/>
      <name val="Verdana"/>
    </font>
    <font>
      <sz val="11.0"/>
      <color rgb="FF222222"/>
      <name val="&quot;Gotham HTF Book&quot;"/>
    </font>
    <font>
      <u/>
      <color theme="1"/>
      <name val="Arial"/>
      <scheme val="minor"/>
    </font>
    <font>
      <b/>
      <sz val="11.0"/>
      <color theme="1"/>
      <name val="Arial"/>
    </font>
    <font>
      <sz val="11.0"/>
      <color rgb="FF000000"/>
      <name val="&quot;Segoe UI Historic&quot;"/>
    </font>
    <font>
      <sz val="11.0"/>
      <color rgb="FF000000"/>
      <name val="Arial"/>
    </font>
    <font>
      <sz val="9.0"/>
      <color rgb="FF1C1E21"/>
      <name val="Arial"/>
    </font>
    <font>
      <color rgb="FF1C2B33"/>
      <name val="Inherit"/>
    </font>
  </fonts>
  <fills count="2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2E75B5"/>
        <bgColor rgb="FF2E75B5"/>
      </patternFill>
    </fill>
    <fill>
      <patternFill patternType="solid">
        <fgColor rgb="FFD5E8F0"/>
        <bgColor rgb="FFD5E8F0"/>
      </patternFill>
    </fill>
    <fill>
      <patternFill patternType="solid">
        <fgColor rgb="FFFFF9E6"/>
        <bgColor rgb="FFFFF9E6"/>
      </patternFill>
    </fill>
    <fill>
      <patternFill patternType="solid">
        <fgColor rgb="FF5B9BD5"/>
        <bgColor rgb="FF5B9BD5"/>
      </patternFill>
    </fill>
    <fill>
      <patternFill patternType="solid">
        <fgColor rgb="FFE7E6E6"/>
        <bgColor rgb="FFE7E6E6"/>
      </patternFill>
    </fill>
    <fill>
      <patternFill patternType="solid">
        <fgColor rgb="FF1F4E78"/>
        <bgColor rgb="FF1F4E78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6D9EEB"/>
        <bgColor rgb="FF6D9EEB"/>
      </patternFill>
    </fill>
    <fill>
      <patternFill patternType="solid">
        <fgColor rgb="FF93C47D"/>
        <bgColor rgb="FF93C47D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DEEAF6"/>
        <bgColor rgb="FFDEEAF6"/>
      </patternFill>
    </fill>
    <fill>
      <patternFill patternType="solid">
        <fgColor rgb="FF9FC5E8"/>
        <bgColor rgb="FF9FC5E8"/>
      </patternFill>
    </fill>
    <fill>
      <patternFill patternType="solid">
        <fgColor rgb="FF00FFFF"/>
        <bgColor rgb="FF00FFFF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1F4E78"/>
      </left>
      <top style="thin">
        <color rgb="FF1F4E78"/>
      </top>
      <bottom style="thin">
        <color rgb="FF1F4E78"/>
      </bottom>
    </border>
    <border>
      <top style="thin">
        <color rgb="FF1F4E78"/>
      </top>
      <bottom style="thin">
        <color rgb="FF1F4E78"/>
      </bottom>
    </border>
    <border>
      <left style="thin">
        <color rgb="FF434343"/>
      </left>
      <right style="thin">
        <color rgb="FF434343"/>
      </right>
      <top style="thin">
        <color rgb="FF434343"/>
      </top>
    </border>
    <border>
      <right style="thin">
        <color rgb="FF000000"/>
      </right>
      <bottom style="thin">
        <color rgb="FF666666"/>
      </bottom>
    </border>
    <border>
      <bottom style="thin">
        <color rgb="FF666666"/>
      </bottom>
    </border>
    <border>
      <left style="thin">
        <color rgb="FF434343"/>
      </left>
      <right style="thin">
        <color rgb="FF434343"/>
      </right>
    </border>
    <border>
      <right style="thin">
        <color rgb="FF000000"/>
      </righ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thin">
        <color rgb="FF000000"/>
      </right>
      <top style="thin">
        <color rgb="FF666666"/>
      </top>
    </border>
    <border>
      <top style="thin">
        <color rgb="FF666666"/>
      </top>
    </border>
    <border>
      <left style="thin">
        <color rgb="FF434343"/>
      </left>
      <right style="thin">
        <color rgb="FF000000"/>
      </right>
      <top style="thin">
        <color rgb="FF434343"/>
      </top>
    </border>
    <border>
      <right style="thin">
        <color rgb="FF434343"/>
      </right>
      <top style="thin">
        <color rgb="FF434343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666666"/>
      </right>
      <top style="thin">
        <color rgb="FF666666"/>
      </top>
      <bottom style="thin">
        <color rgb="FF666666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ck">
        <color rgb="FF000000"/>
      </bottom>
    </border>
    <border>
      <right style="thin">
        <color rgb="FFDDDDDD"/>
      </right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top style="thin">
        <color rgb="FF4472C4"/>
      </top>
    </border>
  </borders>
  <cellStyleXfs count="1">
    <xf borderId="0" fillId="0" fontId="0" numFmtId="0" applyAlignment="1" applyFont="1"/>
  </cellStyleXfs>
  <cellXfs count="4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center" readingOrder="0" vertical="center"/>
    </xf>
    <xf borderId="1" fillId="2" fontId="1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3" fontId="3" numFmtId="0" xfId="0" applyAlignment="1" applyFill="1" applyFont="1">
      <alignment vertical="bottom"/>
    </xf>
    <xf borderId="0" fillId="4" fontId="3" numFmtId="0" xfId="0" applyAlignment="1" applyFill="1" applyFont="1">
      <alignment horizontal="center" vertical="center"/>
    </xf>
    <xf borderId="0" fillId="4" fontId="4" numFmtId="0" xfId="0" applyAlignment="1" applyFont="1">
      <alignment vertical="bottom"/>
    </xf>
    <xf borderId="0" fillId="4" fontId="4" numFmtId="0" xfId="0" applyAlignment="1" applyFont="1">
      <alignment horizontal="center" shrinkToFit="0" vertical="bottom" wrapText="1"/>
    </xf>
    <xf borderId="0" fillId="4" fontId="4" numFmtId="0" xfId="0" applyAlignment="1" applyFont="1">
      <alignment vertical="center"/>
    </xf>
    <xf borderId="2" fillId="4" fontId="4" numFmtId="0" xfId="0" applyAlignment="1" applyBorder="1" applyFont="1">
      <alignment vertical="bottom"/>
    </xf>
    <xf borderId="3" fillId="5" fontId="4" numFmtId="0" xfId="0" applyAlignment="1" applyBorder="1" applyFill="1" applyFont="1">
      <alignment vertical="bottom"/>
    </xf>
    <xf borderId="0" fillId="3" fontId="4" numFmtId="0" xfId="0" applyAlignment="1" applyFont="1">
      <alignment vertical="bottom"/>
    </xf>
    <xf borderId="3" fillId="5" fontId="4" numFmtId="0" xfId="0" applyAlignment="1" applyBorder="1" applyFont="1">
      <alignment vertical="bottom"/>
    </xf>
    <xf borderId="0" fillId="3" fontId="4" numFmtId="0" xfId="0" applyAlignment="1" applyFont="1">
      <alignment vertical="bottom"/>
    </xf>
    <xf borderId="0" fillId="4" fontId="4" numFmtId="0" xfId="0" applyAlignment="1" applyFont="1">
      <alignment shrinkToFit="0" vertical="bottom" wrapText="1"/>
    </xf>
    <xf borderId="0" fillId="5" fontId="3" numFmtId="0" xfId="0" applyAlignment="1" applyFont="1">
      <alignment horizontal="center" vertical="center"/>
    </xf>
    <xf borderId="0" fillId="5" fontId="4" numFmtId="0" xfId="0" applyAlignment="1" applyFont="1">
      <alignment vertical="bottom"/>
    </xf>
    <xf borderId="0" fillId="5" fontId="4" numFmtId="0" xfId="0" applyAlignment="1" applyFont="1">
      <alignment horizontal="center" shrinkToFit="0" vertical="bottom" wrapText="1"/>
    </xf>
    <xf borderId="0" fillId="5" fontId="4" numFmtId="0" xfId="0" applyAlignment="1" applyFont="1">
      <alignment vertical="center"/>
    </xf>
    <xf borderId="2" fillId="5" fontId="4" numFmtId="0" xfId="0" applyAlignment="1" applyBorder="1" applyFont="1">
      <alignment vertical="bottom"/>
    </xf>
    <xf borderId="0" fillId="3" fontId="4" numFmtId="0" xfId="0" applyAlignment="1" applyFont="1">
      <alignment vertical="center"/>
    </xf>
    <xf borderId="0" fillId="3" fontId="4" numFmtId="0" xfId="0" applyAlignment="1" applyFont="1">
      <alignment horizontal="center" shrinkToFit="0" vertical="bottom" wrapText="1"/>
    </xf>
    <xf borderId="2" fillId="3" fontId="4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5" fillId="3" fontId="4" numFmtId="0" xfId="0" applyAlignment="1" applyBorder="1" applyFont="1">
      <alignment vertical="bottom"/>
    </xf>
    <xf borderId="5" fillId="3" fontId="4" numFmtId="0" xfId="0" applyAlignment="1" applyBorder="1" applyFont="1">
      <alignment vertical="center"/>
    </xf>
    <xf borderId="5" fillId="3" fontId="4" numFmtId="0" xfId="0" applyAlignment="1" applyBorder="1" applyFont="1">
      <alignment horizontal="center" shrinkToFit="0" vertical="bottom" wrapText="1"/>
    </xf>
    <xf borderId="6" fillId="3" fontId="4" numFmtId="0" xfId="0" applyAlignment="1" applyBorder="1" applyFont="1">
      <alignment vertical="bottom"/>
    </xf>
    <xf borderId="3" fillId="3" fontId="4" numFmtId="0" xfId="0" applyAlignment="1" applyBorder="1" applyFont="1">
      <alignment vertical="bottom"/>
    </xf>
    <xf borderId="0" fillId="4" fontId="4" numFmtId="0" xfId="0" applyAlignment="1" applyFont="1">
      <alignment readingOrder="0" vertical="bottom"/>
    </xf>
    <xf borderId="0" fillId="4" fontId="4" numFmtId="164" xfId="0" applyAlignment="1" applyFont="1" applyNumberFormat="1">
      <alignment horizontal="center" readingOrder="0" shrinkToFit="0" vertical="bottom" wrapText="1"/>
    </xf>
    <xf borderId="0" fillId="4" fontId="4" numFmtId="0" xfId="0" applyAlignment="1" applyFont="1">
      <alignment horizontal="center" readingOrder="0" vertical="center"/>
    </xf>
    <xf borderId="0" fillId="4" fontId="4" numFmtId="0" xfId="0" applyAlignment="1" applyFont="1">
      <alignment horizontal="center" readingOrder="0" shrinkToFit="0" vertical="bottom" wrapText="1"/>
    </xf>
    <xf borderId="0" fillId="4" fontId="4" numFmtId="0" xfId="0" applyAlignment="1" applyFont="1">
      <alignment readingOrder="0" vertical="bottom"/>
    </xf>
    <xf borderId="0" fillId="4" fontId="4" numFmtId="0" xfId="0" applyAlignment="1" applyFont="1">
      <alignment readingOrder="0" shrinkToFit="0" vertical="bottom" wrapText="1"/>
    </xf>
    <xf borderId="3" fillId="3" fontId="4" numFmtId="0" xfId="0" applyAlignment="1" applyBorder="1" applyFont="1">
      <alignment vertical="bottom"/>
    </xf>
    <xf borderId="7" fillId="3" fontId="4" numFmtId="0" xfId="0" applyAlignment="1" applyBorder="1" applyFont="1">
      <alignment vertical="bottom"/>
    </xf>
    <xf borderId="8" fillId="3" fontId="4" numFmtId="0" xfId="0" applyAlignment="1" applyBorder="1" applyFont="1">
      <alignment vertical="bottom"/>
    </xf>
    <xf borderId="8" fillId="3" fontId="4" numFmtId="0" xfId="0" applyAlignment="1" applyBorder="1" applyFont="1">
      <alignment vertical="center"/>
    </xf>
    <xf borderId="8" fillId="3" fontId="4" numFmtId="0" xfId="0" applyBorder="1" applyFont="1"/>
    <xf borderId="8" fillId="3" fontId="4" numFmtId="0" xfId="0" applyAlignment="1" applyBorder="1" applyFont="1">
      <alignment horizontal="center" shrinkToFit="0" vertical="bottom" wrapText="1"/>
    </xf>
    <xf borderId="9" fillId="3" fontId="4" numFmtId="0" xfId="0" applyAlignment="1" applyBorder="1" applyFont="1">
      <alignment vertical="bottom"/>
    </xf>
    <xf borderId="3" fillId="3" fontId="3" numFmtId="0" xfId="0" applyAlignment="1" applyBorder="1" applyFont="1">
      <alignment vertical="bottom"/>
    </xf>
    <xf borderId="2" fillId="4" fontId="4" numFmtId="0" xfId="0" applyAlignment="1" applyBorder="1" applyFont="1">
      <alignment readingOrder="0" vertical="bottom"/>
    </xf>
    <xf borderId="0" fillId="4" fontId="4" numFmtId="0" xfId="0" applyAlignment="1" applyFont="1">
      <alignment readingOrder="0" shrinkToFit="0" vertical="bottom" wrapText="1"/>
    </xf>
    <xf borderId="7" fillId="3" fontId="4" numFmtId="0" xfId="0" applyAlignment="1" applyBorder="1" applyFont="1">
      <alignment vertical="bottom"/>
    </xf>
    <xf borderId="9" fillId="3" fontId="4" numFmtId="0" xfId="0" applyAlignment="1" applyBorder="1" applyFont="1">
      <alignment vertical="bottom"/>
    </xf>
    <xf borderId="0" fillId="3" fontId="1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readingOrder="0" vertical="center"/>
    </xf>
    <xf borderId="0" fillId="3" fontId="2" numFmtId="0" xfId="0" applyAlignment="1" applyFont="1">
      <alignment horizontal="center" readingOrder="0" shrinkToFit="0" wrapText="1"/>
    </xf>
    <xf borderId="10" fillId="6" fontId="2" numFmtId="0" xfId="0" applyBorder="1" applyFill="1" applyFont="1"/>
    <xf borderId="0" fillId="6" fontId="2" numFmtId="0" xfId="0" applyFont="1"/>
    <xf borderId="0" fillId="4" fontId="1" numFmtId="0" xfId="0" applyAlignment="1" applyFont="1">
      <alignment horizontal="center" readingOrder="0" vertical="center"/>
    </xf>
    <xf borderId="0" fillId="4" fontId="2" numFmtId="0" xfId="0" applyAlignment="1" applyFont="1">
      <alignment readingOrder="0"/>
    </xf>
    <xf borderId="0" fillId="4" fontId="2" numFmtId="0" xfId="0" applyAlignment="1" applyFont="1">
      <alignment horizontal="center" readingOrder="0" shrinkToFit="0" wrapText="1"/>
    </xf>
    <xf borderId="0" fillId="4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readingOrder="0" vertical="center"/>
    </xf>
    <xf borderId="0" fillId="4" fontId="2" numFmtId="0" xfId="0" applyAlignment="1" applyFont="1">
      <alignment readingOrder="0" shrinkToFit="0" wrapText="1"/>
    </xf>
    <xf borderId="10" fillId="6" fontId="2" numFmtId="0" xfId="0" applyAlignment="1" applyBorder="1" applyFont="1">
      <alignment readingOrder="0" shrinkToFit="0" wrapText="1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readingOrder="0"/>
    </xf>
    <xf borderId="0" fillId="4" fontId="5" numFmtId="0" xfId="0" applyAlignment="1" applyFont="1">
      <alignment horizontal="center" readingOrder="0"/>
    </xf>
    <xf borderId="0" fillId="4" fontId="5" numFmtId="0" xfId="0" applyAlignment="1" applyFont="1">
      <alignment horizontal="center" readingOrder="0" vertical="center"/>
    </xf>
    <xf borderId="0" fillId="5" fontId="1" numFmtId="0" xfId="0" applyAlignment="1" applyFont="1">
      <alignment horizontal="center" readingOrder="0" vertical="center"/>
    </xf>
    <xf borderId="0" fillId="5" fontId="2" numFmtId="0" xfId="0" applyAlignment="1" applyFont="1">
      <alignment readingOrder="0"/>
    </xf>
    <xf borderId="0" fillId="5" fontId="5" numFmtId="0" xfId="0" applyAlignment="1" applyFont="1">
      <alignment horizontal="center" readingOrder="0"/>
    </xf>
    <xf borderId="0" fillId="5" fontId="5" numFmtId="0" xfId="0" applyAlignment="1" applyFont="1">
      <alignment horizontal="center" readingOrder="0" vertical="center"/>
    </xf>
    <xf borderId="0" fillId="5" fontId="2" numFmtId="0" xfId="0" applyAlignment="1" applyFont="1">
      <alignment horizontal="center" readingOrder="0" shrinkToFit="0" wrapText="1"/>
    </xf>
    <xf borderId="0" fillId="5" fontId="2" numFmtId="0" xfId="0" applyAlignment="1" applyFont="1">
      <alignment readingOrder="0"/>
    </xf>
    <xf borderId="0" fillId="5" fontId="2" numFmtId="0" xfId="0" applyAlignment="1" applyFont="1">
      <alignment horizontal="left" readingOrder="0" shrinkToFit="0" wrapText="1"/>
    </xf>
    <xf borderId="0" fillId="5" fontId="2" numFmtId="0" xfId="0" applyAlignment="1" applyFont="1">
      <alignment horizontal="center" readingOrder="0" shrinkToFit="0" wrapText="1"/>
    </xf>
    <xf borderId="0" fillId="5" fontId="2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readingOrder="0" shrinkToFit="0" vertical="center" wrapText="1"/>
    </xf>
    <xf borderId="10" fillId="6" fontId="2" numFmtId="0" xfId="0" applyAlignment="1" applyBorder="1" applyFont="1">
      <alignment readingOrder="0"/>
    </xf>
    <xf borderId="0" fillId="5" fontId="2" numFmtId="0" xfId="0" applyAlignment="1" applyFont="1">
      <alignment readingOrder="0" shrinkToFit="0" wrapText="1"/>
    </xf>
    <xf borderId="0" fillId="7" fontId="2" numFmtId="0" xfId="0" applyAlignment="1" applyFill="1" applyFont="1">
      <alignment horizontal="center" readingOrder="0" vertical="center"/>
    </xf>
    <xf borderId="0" fillId="7" fontId="2" numFmtId="0" xfId="0" applyAlignment="1" applyFont="1">
      <alignment readingOrder="0"/>
    </xf>
    <xf borderId="0" fillId="7" fontId="2" numFmtId="0" xfId="0" applyAlignment="1" applyFont="1">
      <alignment horizontal="center" readingOrder="0" shrinkToFit="0" wrapText="1"/>
    </xf>
    <xf borderId="0" fillId="7" fontId="2" numFmtId="0" xfId="0" applyAlignment="1" applyFont="1">
      <alignment horizontal="center" readingOrder="0" shrinkToFit="0" vertical="center" wrapText="1"/>
    </xf>
    <xf borderId="0" fillId="7" fontId="2" numFmtId="0" xfId="0" applyAlignment="1" applyFont="1">
      <alignment horizontal="center" readingOrder="0" shrinkToFit="0" wrapText="1"/>
    </xf>
    <xf borderId="0" fillId="7" fontId="2" numFmtId="0" xfId="0" applyAlignment="1" applyFont="1">
      <alignment readingOrder="0"/>
    </xf>
    <xf borderId="0" fillId="7" fontId="2" numFmtId="0" xfId="0" applyAlignment="1" applyFont="1">
      <alignment readingOrder="0" shrinkToFit="0" wrapText="1"/>
    </xf>
    <xf borderId="0" fillId="7" fontId="5" numFmtId="0" xfId="0" applyAlignment="1" applyFont="1">
      <alignment horizontal="center" readingOrder="0"/>
    </xf>
    <xf borderId="0" fillId="7" fontId="5" numFmtId="0" xfId="0" applyAlignment="1" applyFont="1">
      <alignment horizontal="center" readingOrder="0" vertical="center"/>
    </xf>
    <xf borderId="7" fillId="3" fontId="2" numFmtId="0" xfId="0" applyBorder="1" applyFont="1"/>
    <xf borderId="8" fillId="3" fontId="2" numFmtId="0" xfId="0" applyBorder="1" applyFont="1"/>
    <xf borderId="8" fillId="3" fontId="2" numFmtId="0" xfId="0" applyAlignment="1" applyBorder="1" applyFont="1">
      <alignment vertical="center"/>
    </xf>
    <xf borderId="8" fillId="3" fontId="2" numFmtId="0" xfId="0" applyAlignment="1" applyBorder="1" applyFont="1">
      <alignment readingOrder="0"/>
    </xf>
    <xf borderId="8" fillId="3" fontId="2" numFmtId="0" xfId="0" applyAlignment="1" applyBorder="1" applyFont="1">
      <alignment readingOrder="0" vertical="center"/>
    </xf>
    <xf borderId="8" fillId="3" fontId="2" numFmtId="0" xfId="0" applyAlignment="1" applyBorder="1" applyFont="1">
      <alignment horizontal="center" readingOrder="0" shrinkToFit="0" wrapText="1"/>
    </xf>
    <xf borderId="0" fillId="6" fontId="1" numFmtId="0" xfId="0" applyAlignment="1" applyFont="1">
      <alignment readingOrder="0"/>
    </xf>
    <xf borderId="0" fillId="6" fontId="1" numFmtId="0" xfId="0" applyAlignment="1" applyFont="1">
      <alignment readingOrder="0" vertical="center"/>
    </xf>
    <xf borderId="0" fillId="6" fontId="1" numFmtId="0" xfId="0" applyAlignment="1" applyFont="1">
      <alignment horizontal="center" readingOrder="0" shrinkToFit="0" wrapText="1"/>
    </xf>
    <xf borderId="0" fillId="6" fontId="6" numFmtId="164" xfId="0" applyAlignment="1" applyFont="1" applyNumberFormat="1">
      <alignment horizontal="right" readingOrder="0"/>
    </xf>
    <xf borderId="0" fillId="4" fontId="1" numFmtId="0" xfId="0" applyAlignment="1" applyFont="1">
      <alignment readingOrder="0" shrinkToFit="0" wrapText="1"/>
    </xf>
    <xf borderId="0" fillId="6" fontId="1" numFmtId="0" xfId="0" applyFont="1"/>
    <xf borderId="0" fillId="4" fontId="7" numFmtId="0" xfId="0" applyAlignment="1" applyFont="1">
      <alignment readingOrder="0" shrinkToFit="0" wrapText="1"/>
    </xf>
    <xf borderId="0" fillId="4" fontId="8" numFmtId="0" xfId="0" applyAlignment="1" applyFont="1">
      <alignment readingOrder="0"/>
    </xf>
    <xf borderId="0" fillId="5" fontId="2" numFmtId="0" xfId="0" applyAlignment="1" applyFont="1">
      <alignment readingOrder="0" shrinkToFit="0" wrapText="1"/>
    </xf>
    <xf borderId="0" fillId="4" fontId="9" numFmtId="0" xfId="0" applyAlignment="1" applyFont="1">
      <alignment readingOrder="0" shrinkToFit="0" wrapText="1"/>
    </xf>
    <xf borderId="10" fillId="6" fontId="5" numFmtId="0" xfId="0" applyAlignment="1" applyBorder="1" applyFont="1">
      <alignment horizontal="left" readingOrder="0"/>
    </xf>
    <xf borderId="0" fillId="6" fontId="2" numFmtId="0" xfId="0" applyAlignment="1" applyFont="1">
      <alignment vertical="center"/>
    </xf>
    <xf borderId="0" fillId="6" fontId="2" numFmtId="0" xfId="0" applyAlignment="1" applyFont="1">
      <alignment horizontal="center" shrinkToFit="0" wrapText="1"/>
    </xf>
    <xf borderId="3" fillId="3" fontId="3" numFmtId="0" xfId="0" applyAlignment="1" applyBorder="1" applyFont="1">
      <alignment readingOrder="0" vertical="bottom"/>
    </xf>
    <xf borderId="0" fillId="4" fontId="3" numFmtId="0" xfId="0" applyAlignment="1" applyFont="1">
      <alignment horizontal="center" readingOrder="0" vertical="center"/>
    </xf>
    <xf borderId="0" fillId="4" fontId="4" numFmtId="0" xfId="0" applyAlignment="1" applyFont="1">
      <alignment readingOrder="0" vertical="center"/>
    </xf>
    <xf borderId="0" fillId="3" fontId="2" numFmtId="0" xfId="0" applyFont="1"/>
    <xf borderId="0" fillId="7" fontId="2" numFmtId="0" xfId="0" applyAlignment="1" applyFont="1">
      <alignment vertical="center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readingOrder="0"/>
    </xf>
    <xf borderId="0" fillId="5" fontId="1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readingOrder="0"/>
    </xf>
    <xf borderId="0" fillId="4" fontId="2" numFmtId="0" xfId="0" applyAlignment="1" applyFont="1">
      <alignment horizontal="center" readingOrder="0" vertical="center"/>
    </xf>
    <xf borderId="10" fillId="6" fontId="10" numFmtId="0" xfId="0" applyAlignment="1" applyBorder="1" applyFont="1">
      <alignment readingOrder="0"/>
    </xf>
    <xf borderId="0" fillId="4" fontId="11" numFmtId="0" xfId="0" applyAlignment="1" applyFont="1">
      <alignment readingOrder="0"/>
    </xf>
    <xf borderId="0" fillId="5" fontId="2" numFmtId="0" xfId="0" applyAlignment="1" applyFont="1">
      <alignment horizontal="left" readingOrder="0" vertical="center"/>
    </xf>
    <xf borderId="0" fillId="7" fontId="1" numFmtId="0" xfId="0" applyAlignment="1" applyFont="1">
      <alignment horizontal="center" readingOrder="0" vertical="center"/>
    </xf>
    <xf borderId="0" fillId="7" fontId="2" numFmtId="0" xfId="0" applyAlignment="1" applyFont="1">
      <alignment readingOrder="0" vertical="center"/>
    </xf>
    <xf borderId="0" fillId="7" fontId="2" numFmtId="0" xfId="0" applyFont="1"/>
    <xf borderId="11" fillId="6" fontId="2" numFmtId="0" xfId="0" applyBorder="1" applyFont="1"/>
    <xf borderId="0" fillId="4" fontId="4" numFmtId="165" xfId="0" applyAlignment="1" applyFont="1" applyNumberFormat="1">
      <alignment horizontal="center" readingOrder="0" shrinkToFit="0" vertical="bottom" wrapText="1"/>
    </xf>
    <xf borderId="0" fillId="3" fontId="4" numFmtId="0" xfId="0" applyAlignment="1" applyFont="1">
      <alignment readingOrder="0" vertical="bottom"/>
    </xf>
    <xf borderId="0" fillId="0" fontId="2" numFmtId="0" xfId="0" applyAlignment="1" applyFont="1">
      <alignment vertical="center"/>
    </xf>
    <xf borderId="0" fillId="0" fontId="2" numFmtId="0" xfId="0" applyAlignment="1" applyFont="1">
      <alignment horizontal="center" shrinkToFit="0" wrapText="1"/>
    </xf>
    <xf borderId="0" fillId="0" fontId="12" numFmtId="0" xfId="0" applyAlignment="1" applyFont="1">
      <alignment horizontal="center" readingOrder="0"/>
    </xf>
    <xf borderId="0" fillId="0" fontId="13" numFmtId="0" xfId="0" applyAlignment="1" applyFont="1">
      <alignment shrinkToFit="0" vertical="bottom" wrapText="0"/>
    </xf>
    <xf borderId="0" fillId="0" fontId="13" numFmtId="0" xfId="0" applyAlignment="1" applyFont="1">
      <alignment horizontal="center" shrinkToFit="0" vertical="bottom" wrapText="1"/>
    </xf>
    <xf borderId="0" fillId="8" fontId="14" numFmtId="0" xfId="0" applyAlignment="1" applyFill="1" applyFont="1">
      <alignment horizontal="center" readingOrder="0"/>
    </xf>
    <xf borderId="0" fillId="8" fontId="14" numFmtId="0" xfId="0" applyAlignment="1" applyFont="1">
      <alignment horizontal="center" readingOrder="0" shrinkToFit="0" wrapText="1"/>
    </xf>
    <xf borderId="0" fillId="9" fontId="3" numFmtId="0" xfId="0" applyAlignment="1" applyFill="1" applyFont="1">
      <alignment horizontal="left" readingOrder="0" shrinkToFit="0" wrapText="0"/>
    </xf>
    <xf borderId="0" fillId="0" fontId="15" numFmtId="0" xfId="0" applyAlignment="1" applyFont="1">
      <alignment horizontal="center" readingOrder="0"/>
    </xf>
    <xf borderId="0" fillId="0" fontId="16" numFmtId="0" xfId="0" applyAlignment="1" applyFont="1">
      <alignment horizontal="center" readingOrder="0" shrinkToFit="0" wrapText="1"/>
    </xf>
    <xf borderId="0" fillId="0" fontId="4" numFmtId="3" xfId="0" applyAlignment="1" applyFont="1" applyNumberFormat="1">
      <alignment horizontal="center" readingOrder="0"/>
    </xf>
    <xf borderId="0" fillId="0" fontId="4" numFmtId="3" xfId="0" applyAlignment="1" applyFont="1" applyNumberFormat="1">
      <alignment horizontal="center" readingOrder="0" shrinkToFit="0" wrapText="1"/>
    </xf>
    <xf borderId="0" fillId="10" fontId="4" numFmtId="0" xfId="0" applyAlignment="1" applyFill="1" applyFont="1">
      <alignment horizontal="center"/>
    </xf>
    <xf borderId="0" fillId="10" fontId="4" numFmtId="0" xfId="0" applyAlignment="1" applyFont="1">
      <alignment horizontal="center" shrinkToFit="0" wrapText="1"/>
    </xf>
    <xf borderId="0" fillId="8" fontId="17" numFmtId="0" xfId="0" applyAlignment="1" applyFont="1">
      <alignment horizontal="center" readingOrder="0"/>
    </xf>
    <xf borderId="0" fillId="0" fontId="18" numFmtId="0" xfId="0" applyAlignment="1" applyFont="1">
      <alignment horizontal="left" readingOrder="0" shrinkToFit="0" wrapText="1"/>
    </xf>
    <xf borderId="0" fillId="0" fontId="19" numFmtId="0" xfId="0" applyAlignment="1" applyFont="1">
      <alignment horizontal="left" readingOrder="0" shrinkToFit="0" wrapText="1"/>
    </xf>
    <xf borderId="0" fillId="0" fontId="4" numFmtId="166" xfId="0" applyAlignment="1" applyFont="1" applyNumberFormat="1">
      <alignment horizontal="center" readingOrder="0"/>
    </xf>
    <xf borderId="0" fillId="0" fontId="4" numFmtId="166" xfId="0" applyAlignment="1" applyFont="1" applyNumberFormat="1">
      <alignment horizontal="center" readingOrder="0" shrinkToFit="0" wrapText="1"/>
    </xf>
    <xf borderId="0" fillId="0" fontId="3" numFmtId="3" xfId="0" applyAlignment="1" applyFont="1" applyNumberFormat="1">
      <alignment horizontal="center" readingOrder="0"/>
    </xf>
    <xf borderId="0" fillId="0" fontId="3" numFmtId="3" xfId="0" applyAlignment="1" applyFont="1" applyNumberFormat="1">
      <alignment horizontal="center" readingOrder="0" shrinkToFit="0" wrapText="1"/>
    </xf>
    <xf borderId="0" fillId="0" fontId="4" numFmtId="0" xfId="0" applyAlignment="1" applyFont="1">
      <alignment horizontal="left" readingOrder="0" shrinkToFit="0" wrapText="0"/>
    </xf>
    <xf borderId="0" fillId="0" fontId="4" numFmtId="0" xfId="0" applyAlignment="1" applyFont="1">
      <alignment horizontal="center" readingOrder="0"/>
    </xf>
    <xf borderId="0" fillId="11" fontId="17" numFmtId="0" xfId="0" applyAlignment="1" applyFill="1" applyFont="1">
      <alignment horizontal="center" readingOrder="0"/>
    </xf>
    <xf borderId="0" fillId="12" fontId="3" numFmtId="0" xfId="0" applyAlignment="1" applyFill="1" applyFont="1">
      <alignment horizontal="left" readingOrder="0" shrinkToFit="0" wrapText="0"/>
    </xf>
    <xf borderId="0" fillId="0" fontId="20" numFmtId="0" xfId="0" applyAlignment="1" applyFont="1">
      <alignment horizontal="center" readingOrder="0" shrinkToFit="0" wrapText="1"/>
    </xf>
    <xf borderId="0" fillId="0" fontId="21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0" fillId="0" fontId="22" numFmtId="0" xfId="0" applyAlignment="1" applyFont="1">
      <alignment horizontal="center" readingOrder="0" shrinkToFit="0" vertical="bottom" wrapText="1"/>
    </xf>
    <xf borderId="0" fillId="0" fontId="13" numFmtId="0" xfId="0" applyAlignment="1" applyFont="1">
      <alignment horizontal="center" readingOrder="0" shrinkToFit="0" vertical="bottom" wrapText="1"/>
    </xf>
    <xf borderId="0" fillId="10" fontId="4" numFmtId="0" xfId="0" applyAlignment="1" applyFont="1">
      <alignment horizontal="left" shrinkToFit="0" wrapText="0"/>
    </xf>
    <xf borderId="0" fillId="0" fontId="4" numFmtId="0" xfId="0" applyAlignment="1" applyFont="1">
      <alignment horizontal="left" shrinkToFit="0" wrapText="0"/>
    </xf>
    <xf borderId="0" fillId="0" fontId="4" numFmtId="0" xfId="0" applyAlignment="1" applyFont="1">
      <alignment horizontal="center" shrinkToFit="0" wrapText="1"/>
    </xf>
    <xf borderId="12" fillId="13" fontId="23" numFmtId="0" xfId="0" applyAlignment="1" applyBorder="1" applyFill="1" applyFont="1">
      <alignment horizontal="center" readingOrder="0"/>
    </xf>
    <xf borderId="13" fillId="0" fontId="24" numFmtId="0" xfId="0" applyBorder="1" applyFont="1"/>
    <xf borderId="0" fillId="14" fontId="3" numFmtId="0" xfId="0" applyAlignment="1" applyFill="1" applyFont="1">
      <alignment horizontal="left" readingOrder="0" shrinkToFit="0" wrapText="0"/>
    </xf>
    <xf borderId="0" fillId="14" fontId="25" numFmtId="3" xfId="0" applyAlignment="1" applyFont="1" applyNumberFormat="1">
      <alignment horizontal="center" readingOrder="0"/>
    </xf>
    <xf borderId="0" fillId="14" fontId="25" numFmtId="3" xfId="0" applyAlignment="1" applyFont="1" applyNumberFormat="1">
      <alignment horizontal="center" readingOrder="0" shrinkToFit="0" wrapText="1"/>
    </xf>
    <xf borderId="0" fillId="4" fontId="3" numFmtId="0" xfId="0" applyAlignment="1" applyFont="1">
      <alignment horizontal="center"/>
    </xf>
    <xf borderId="0" fillId="4" fontId="26" numFmtId="0" xfId="0" applyAlignment="1" applyFont="1">
      <alignment vertical="bottom"/>
    </xf>
    <xf borderId="0" fillId="4" fontId="27" numFmtId="0" xfId="0" applyAlignment="1" applyFont="1">
      <alignment shrinkToFit="0" vertical="bottom" wrapText="1"/>
    </xf>
    <xf borderId="0" fillId="5" fontId="3" numFmtId="0" xfId="0" applyAlignment="1" applyFont="1">
      <alignment horizontal="center"/>
    </xf>
    <xf borderId="2" fillId="4" fontId="4" numFmtId="0" xfId="0" applyAlignment="1" applyBorder="1" applyFont="1">
      <alignment vertical="bottom"/>
    </xf>
    <xf borderId="0" fillId="5" fontId="4" numFmtId="0" xfId="0" applyAlignment="1" applyFont="1">
      <alignment shrinkToFit="0" vertical="bottom" wrapText="1"/>
    </xf>
    <xf borderId="2" fillId="5" fontId="4" numFmtId="0" xfId="0" applyAlignment="1" applyBorder="1" applyFont="1">
      <alignment vertical="bottom"/>
    </xf>
    <xf borderId="3" fillId="3" fontId="3" numFmtId="164" xfId="0" applyAlignment="1" applyBorder="1" applyFont="1" applyNumberFormat="1">
      <alignment horizontal="right" vertical="bottom"/>
    </xf>
    <xf borderId="0" fillId="5" fontId="2" numFmtId="0" xfId="0" applyAlignment="1" applyFont="1">
      <alignment horizontal="left" readingOrder="0" shrinkToFit="0" wrapText="1"/>
    </xf>
    <xf borderId="0" fillId="4" fontId="2" numFmtId="0" xfId="0" applyAlignment="1" applyFont="1">
      <alignment horizontal="left" readingOrder="0" vertical="center"/>
    </xf>
    <xf borderId="0" fillId="6" fontId="1" numFmtId="165" xfId="0" applyAlignment="1" applyFont="1" applyNumberFormat="1">
      <alignment readingOrder="0"/>
    </xf>
    <xf borderId="0" fillId="0" fontId="4" numFmtId="0" xfId="0" applyAlignment="1" applyFont="1">
      <alignment vertical="bottom"/>
    </xf>
    <xf borderId="2" fillId="15" fontId="4" numFmtId="0" xfId="0" applyAlignment="1" applyBorder="1" applyFill="1" applyFont="1">
      <alignment vertical="bottom"/>
    </xf>
    <xf borderId="0" fillId="15" fontId="4" numFmtId="0" xfId="0" applyAlignment="1" applyFont="1">
      <alignment readingOrder="0" vertical="bottom"/>
    </xf>
    <xf borderId="14" fillId="7" fontId="28" numFmtId="0" xfId="0" applyAlignment="1" applyBorder="1" applyFont="1">
      <alignment horizontal="center" shrinkToFit="0" vertical="center" wrapText="1"/>
    </xf>
    <xf borderId="15" fillId="0" fontId="29" numFmtId="0" xfId="0" applyAlignment="1" applyBorder="1" applyFont="1">
      <alignment vertical="bottom"/>
    </xf>
    <xf borderId="16" fillId="0" fontId="29" numFmtId="166" xfId="0" applyAlignment="1" applyBorder="1" applyFont="1" applyNumberFormat="1">
      <alignment readingOrder="0" vertical="bottom"/>
    </xf>
    <xf borderId="17" fillId="0" fontId="24" numFmtId="0" xfId="0" applyBorder="1" applyFont="1"/>
    <xf borderId="16" fillId="0" fontId="29" numFmtId="167" xfId="0" applyAlignment="1" applyBorder="1" applyFont="1" applyNumberFormat="1">
      <alignment readingOrder="0" vertical="bottom"/>
    </xf>
    <xf borderId="15" fillId="0" fontId="28" numFmtId="0" xfId="0" applyAlignment="1" applyBorder="1" applyFont="1">
      <alignment vertical="bottom"/>
    </xf>
    <xf borderId="16" fillId="0" fontId="28" numFmtId="3" xfId="0" applyAlignment="1" applyBorder="1" applyFont="1" applyNumberFormat="1">
      <alignment readingOrder="0" vertical="bottom"/>
    </xf>
    <xf borderId="18" fillId="0" fontId="28" numFmtId="0" xfId="0" applyAlignment="1" applyBorder="1" applyFont="1">
      <alignment vertical="bottom"/>
    </xf>
    <xf borderId="19" fillId="0" fontId="28" numFmtId="3" xfId="0" applyAlignment="1" applyBorder="1" applyFont="1" applyNumberFormat="1">
      <alignment readingOrder="0" vertical="bottom"/>
    </xf>
    <xf borderId="20" fillId="0" fontId="29" numFmtId="0" xfId="0" applyAlignment="1" applyBorder="1" applyFont="1">
      <alignment vertical="bottom"/>
    </xf>
    <xf borderId="21" fillId="0" fontId="29" numFmtId="3" xfId="0" applyAlignment="1" applyBorder="1" applyFont="1" applyNumberFormat="1">
      <alignment readingOrder="0" vertical="bottom"/>
    </xf>
    <xf borderId="22" fillId="0" fontId="28" numFmtId="0" xfId="0" applyAlignment="1" applyBorder="1" applyFont="1">
      <alignment vertical="bottom"/>
    </xf>
    <xf borderId="23" fillId="0" fontId="28" numFmtId="3" xfId="0" applyAlignment="1" applyBorder="1" applyFont="1" applyNumberFormat="1">
      <alignment readingOrder="0" vertical="bottom"/>
    </xf>
    <xf borderId="23" fillId="0" fontId="28" numFmtId="3" xfId="0" applyAlignment="1" applyBorder="1" applyFont="1" applyNumberFormat="1">
      <alignment horizontal="right" readingOrder="0" vertical="bottom"/>
    </xf>
    <xf borderId="24" fillId="0" fontId="28" numFmtId="0" xfId="0" applyAlignment="1" applyBorder="1" applyFont="1">
      <alignment vertical="bottom"/>
    </xf>
    <xf borderId="24" fillId="0" fontId="28" numFmtId="168" xfId="0" applyAlignment="1" applyBorder="1" applyFont="1" applyNumberFormat="1">
      <alignment readingOrder="0" vertical="bottom"/>
    </xf>
    <xf borderId="2" fillId="0" fontId="28" numFmtId="0" xfId="0" applyAlignment="1" applyBorder="1" applyFont="1">
      <alignment vertical="bottom"/>
    </xf>
    <xf borderId="0" fillId="0" fontId="28" numFmtId="10" xfId="0" applyAlignment="1" applyFont="1" applyNumberFormat="1">
      <alignment readingOrder="0" vertical="bottom"/>
    </xf>
    <xf borderId="18" fillId="0" fontId="29" numFmtId="168" xfId="0" applyAlignment="1" applyBorder="1" applyFont="1" applyNumberFormat="1">
      <alignment readingOrder="0" vertical="bottom"/>
    </xf>
    <xf borderId="25" fillId="0" fontId="29" numFmtId="168" xfId="0" applyAlignment="1" applyBorder="1" applyFont="1" applyNumberFormat="1">
      <alignment readingOrder="0" vertical="bottom"/>
    </xf>
    <xf borderId="0" fillId="0" fontId="2" numFmtId="168" xfId="0" applyFont="1" applyNumberFormat="1"/>
    <xf borderId="26" fillId="0" fontId="4" numFmtId="0" xfId="0" applyAlignment="1" applyBorder="1" applyFont="1">
      <alignment vertical="bottom"/>
    </xf>
    <xf borderId="26" fillId="0" fontId="30" numFmtId="0" xfId="0" applyAlignment="1" applyBorder="1" applyFont="1">
      <alignment readingOrder="0" shrinkToFit="0" vertical="bottom" wrapText="1"/>
    </xf>
    <xf borderId="26" fillId="0" fontId="5" numFmtId="0" xfId="0" applyAlignment="1" applyBorder="1" applyFont="1">
      <alignment readingOrder="0" shrinkToFit="0" vertical="bottom" wrapText="1"/>
    </xf>
    <xf borderId="0" fillId="16" fontId="1" numFmtId="0" xfId="0" applyAlignment="1" applyFill="1" applyFont="1">
      <alignment horizontal="center" readingOrder="0"/>
    </xf>
    <xf borderId="0" fillId="16" fontId="1" numFmtId="0" xfId="0" applyAlignment="1" applyFont="1">
      <alignment horizontal="center" readingOrder="0" shrinkToFit="0" wrapText="1"/>
    </xf>
    <xf borderId="0" fillId="0" fontId="3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2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33" numFmtId="0" xfId="0" applyAlignment="1" applyFont="1">
      <alignment readingOrder="0"/>
    </xf>
    <xf borderId="0" fillId="17" fontId="34" numFmtId="0" xfId="0" applyAlignment="1" applyFill="1" applyFont="1">
      <alignment readingOrder="0" shrinkToFit="0" wrapText="1"/>
    </xf>
    <xf borderId="0" fillId="0" fontId="35" numFmtId="0" xfId="0" applyAlignment="1" applyFont="1">
      <alignment readingOrder="0" shrinkToFit="0" wrapText="1"/>
    </xf>
    <xf borderId="0" fillId="0" fontId="2" numFmtId="0" xfId="0" applyFont="1"/>
    <xf borderId="2" fillId="4" fontId="3" numFmtId="0" xfId="0" applyBorder="1" applyFont="1"/>
    <xf borderId="3" fillId="5" fontId="2" numFmtId="0" xfId="0" applyBorder="1" applyFont="1"/>
    <xf borderId="0" fillId="4" fontId="4" numFmtId="0" xfId="0" applyAlignment="1" applyFont="1">
      <alignment horizontal="center" readingOrder="0" shrinkToFit="0" wrapText="1"/>
    </xf>
    <xf borderId="0" fillId="4" fontId="4" numFmtId="0" xfId="0" applyAlignment="1" applyFont="1">
      <alignment readingOrder="0"/>
    </xf>
    <xf borderId="2" fillId="4" fontId="4" numFmtId="0" xfId="0" applyBorder="1" applyFont="1"/>
    <xf borderId="0" fillId="5" fontId="4" numFmtId="0" xfId="0" applyAlignment="1" applyFont="1">
      <alignment horizontal="center" readingOrder="0" shrinkToFit="0" vertical="bottom" wrapText="1"/>
    </xf>
    <xf borderId="2" fillId="5" fontId="3" numFmtId="0" xfId="0" applyAlignment="1" applyBorder="1" applyFont="1">
      <alignment vertical="bottom"/>
    </xf>
    <xf borderId="2" fillId="3" fontId="2" numFmtId="0" xfId="0" applyBorder="1" applyFont="1"/>
    <xf borderId="4" fillId="3" fontId="1" numFmtId="0" xfId="0" applyAlignment="1" applyBorder="1" applyFont="1">
      <alignment readingOrder="0"/>
    </xf>
    <xf borderId="5" fillId="3" fontId="1" numFmtId="0" xfId="0" applyAlignment="1" applyBorder="1" applyFont="1">
      <alignment readingOrder="0"/>
    </xf>
    <xf borderId="5" fillId="3" fontId="2" numFmtId="0" xfId="0" applyAlignment="1" applyBorder="1" applyFont="1">
      <alignment readingOrder="0"/>
    </xf>
    <xf borderId="6" fillId="3" fontId="2" numFmtId="0" xfId="0" applyAlignment="1" applyBorder="1" applyFont="1">
      <alignment readingOrder="0"/>
    </xf>
    <xf borderId="3" fillId="3" fontId="2" numFmtId="0" xfId="0" applyBorder="1" applyFont="1"/>
    <xf borderId="3" fillId="3" fontId="1" numFmtId="0" xfId="0" applyAlignment="1" applyBorder="1" applyFont="1">
      <alignment readingOrder="0"/>
    </xf>
    <xf borderId="0" fillId="4" fontId="4" numFmtId="0" xfId="0" applyAlignment="1" applyFont="1">
      <alignment horizontal="center" shrinkToFit="0" wrapText="1"/>
    </xf>
    <xf borderId="0" fillId="4" fontId="4" numFmtId="0" xfId="0" applyFont="1"/>
    <xf borderId="7" fillId="3" fontId="1" numFmtId="0" xfId="0" applyAlignment="1" applyBorder="1" applyFont="1">
      <alignment readingOrder="0"/>
    </xf>
    <xf borderId="8" fillId="3" fontId="2" numFmtId="0" xfId="0" applyAlignment="1" applyBorder="1" applyFont="1">
      <alignment horizontal="center" readingOrder="0" shrinkToFit="0" vertical="center" wrapText="1"/>
    </xf>
    <xf borderId="9" fillId="3" fontId="2" numFmtId="0" xfId="0" applyAlignment="1" applyBorder="1" applyFont="1">
      <alignment readingOrder="0"/>
    </xf>
    <xf borderId="3" fillId="3" fontId="1" numFmtId="0" xfId="0" applyBorder="1" applyFont="1"/>
    <xf borderId="5" fillId="3" fontId="2" numFmtId="0" xfId="0" applyBorder="1" applyFont="1"/>
    <xf borderId="3" fillId="5" fontId="2" numFmtId="0" xfId="0" applyAlignment="1" applyBorder="1" applyFont="1">
      <alignment readingOrder="0" shrinkToFit="0" wrapText="1"/>
    </xf>
    <xf borderId="3" fillId="3" fontId="1" numFmtId="164" xfId="0" applyAlignment="1" applyBorder="1" applyFont="1" applyNumberFormat="1">
      <alignment readingOrder="0"/>
    </xf>
    <xf borderId="9" fillId="3" fontId="2" numFmtId="0" xfId="0" applyBorder="1" applyFont="1"/>
    <xf borderId="0" fillId="18" fontId="1" numFmtId="0" xfId="0" applyAlignment="1" applyFill="1" applyFont="1">
      <alignment readingOrder="0"/>
    </xf>
    <xf borderId="3" fillId="5" fontId="2" numFmtId="0" xfId="0" applyAlignment="1" applyBorder="1" applyFont="1">
      <alignment readingOrder="0"/>
    </xf>
    <xf borderId="0" fillId="3" fontId="1" numFmtId="0" xfId="0" applyAlignment="1" applyFont="1">
      <alignment readingOrder="0" vertical="center"/>
    </xf>
    <xf borderId="3" fillId="5" fontId="36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left" readingOrder="0"/>
    </xf>
    <xf borderId="0" fillId="19" fontId="1" numFmtId="0" xfId="0" applyAlignment="1" applyFill="1" applyFont="1">
      <alignment horizontal="center" readingOrder="0" vertical="center"/>
    </xf>
    <xf borderId="0" fillId="19" fontId="2" numFmtId="0" xfId="0" applyAlignment="1" applyFont="1">
      <alignment readingOrder="0"/>
    </xf>
    <xf borderId="0" fillId="19" fontId="2" numFmtId="0" xfId="0" applyAlignment="1" applyFont="1">
      <alignment horizontal="center" readingOrder="0" shrinkToFit="0" wrapText="1"/>
    </xf>
    <xf borderId="0" fillId="19" fontId="2" numFmtId="0" xfId="0" applyAlignment="1" applyFont="1">
      <alignment readingOrder="0" shrinkToFit="0" wrapText="1"/>
    </xf>
    <xf borderId="0" fillId="19" fontId="2" numFmtId="0" xfId="0" applyAlignment="1" applyFont="1">
      <alignment readingOrder="0"/>
    </xf>
    <xf borderId="0" fillId="16" fontId="1" numFmtId="0" xfId="0" applyAlignment="1" applyFont="1">
      <alignment horizontal="center" readingOrder="0" vertical="center"/>
    </xf>
    <xf borderId="0" fillId="16" fontId="2" numFmtId="0" xfId="0" applyFont="1"/>
    <xf borderId="0" fillId="16" fontId="2" numFmtId="0" xfId="0" applyAlignment="1" applyFont="1">
      <alignment readingOrder="0"/>
    </xf>
    <xf borderId="0" fillId="16" fontId="2" numFmtId="0" xfId="0" applyAlignment="1" applyFont="1">
      <alignment readingOrder="0"/>
    </xf>
    <xf borderId="0" fillId="4" fontId="37" numFmtId="0" xfId="0" applyAlignment="1" applyFont="1">
      <alignment readingOrder="0"/>
    </xf>
    <xf borderId="10" fillId="6" fontId="2" numFmtId="0" xfId="0" applyAlignment="1" applyBorder="1" applyFont="1">
      <alignment readingOrder="0"/>
    </xf>
    <xf borderId="0" fillId="4" fontId="38" numFmtId="0" xfId="0" applyAlignment="1" applyFont="1">
      <alignment readingOrder="0"/>
    </xf>
    <xf borderId="0" fillId="5" fontId="2" numFmtId="0" xfId="0" applyAlignment="1" applyFont="1">
      <alignment readingOrder="0"/>
    </xf>
    <xf borderId="0" fillId="5" fontId="2" numFmtId="0" xfId="0" applyAlignment="1" applyFont="1">
      <alignment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27" fillId="0" fontId="39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18" fontId="1" numFmtId="0" xfId="0" applyAlignment="1" applyFont="1">
      <alignment horizontal="center" readingOrder="0" shrinkToFit="0" vertical="center" wrapText="0"/>
    </xf>
    <xf borderId="0" fillId="18" fontId="2" numFmtId="0" xfId="0" applyAlignment="1" applyFont="1">
      <alignment shrinkToFit="0" vertical="center" wrapText="0"/>
    </xf>
    <xf borderId="0" fillId="18" fontId="2" numFmtId="0" xfId="0" applyAlignment="1" applyFont="1">
      <alignment shrinkToFit="0" vertical="center" wrapText="0"/>
    </xf>
    <xf borderId="0" fillId="0" fontId="2" numFmtId="3" xfId="0" applyAlignment="1" applyFont="1" applyNumberFormat="1">
      <alignment readingOrder="0"/>
    </xf>
    <xf borderId="0" fillId="0" fontId="2" numFmtId="169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 shrinkToFit="0" wrapText="1"/>
    </xf>
    <xf borderId="0" fillId="20" fontId="1" numFmtId="0" xfId="0" applyAlignment="1" applyFill="1" applyFont="1">
      <alignment horizontal="center" readingOrder="0"/>
    </xf>
    <xf borderId="0" fillId="20" fontId="1" numFmtId="0" xfId="0" applyAlignment="1" applyFont="1">
      <alignment horizontal="center" readingOrder="0" shrinkToFit="0" wrapText="1"/>
    </xf>
    <xf borderId="0" fillId="21" fontId="1" numFmtId="0" xfId="0" applyAlignment="1" applyFill="1" applyFont="1">
      <alignment horizontal="center" readingOrder="0" shrinkToFit="0" wrapText="1"/>
    </xf>
    <xf borderId="0" fillId="0" fontId="40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/>
    </xf>
    <xf borderId="0" fillId="22" fontId="1" numFmtId="0" xfId="0" applyAlignment="1" applyFill="1" applyFont="1">
      <alignment horizontal="center" readingOrder="0"/>
    </xf>
    <xf borderId="0" fillId="23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0" fillId="3" fontId="1" numFmtId="0" xfId="0" applyAlignment="1" applyFont="1">
      <alignment horizontal="center" readingOrder="0"/>
    </xf>
    <xf borderId="0" fillId="5" fontId="1" numFmtId="0" xfId="0" applyAlignment="1" applyFont="1">
      <alignment readingOrder="0"/>
    </xf>
    <xf borderId="0" fillId="5" fontId="2" numFmtId="0" xfId="0" applyAlignment="1" applyFont="1">
      <alignment horizontal="center" readingOrder="0"/>
    </xf>
    <xf borderId="0" fillId="5" fontId="2" numFmtId="0" xfId="0" applyFont="1"/>
    <xf borderId="0" fillId="24" fontId="1" numFmtId="0" xfId="0" applyAlignment="1" applyFill="1" applyFont="1">
      <alignment readingOrder="0"/>
    </xf>
    <xf borderId="0" fillId="24" fontId="2" numFmtId="0" xfId="0" applyAlignment="1" applyFont="1">
      <alignment readingOrder="0"/>
    </xf>
    <xf borderId="0" fillId="24" fontId="2" numFmtId="0" xfId="0" applyAlignment="1" applyFont="1">
      <alignment horizontal="center" readingOrder="0"/>
    </xf>
    <xf borderId="0" fillId="24" fontId="2" numFmtId="0" xfId="0" applyFont="1"/>
    <xf borderId="0" fillId="24" fontId="1" numFmtId="0" xfId="0" applyAlignment="1" applyFont="1">
      <alignment horizontal="center" readingOrder="0"/>
    </xf>
    <xf borderId="0" fillId="24" fontId="2" numFmtId="0" xfId="0" applyAlignment="1" applyFont="1">
      <alignment horizontal="center" readingOrder="0" shrinkToFit="0" wrapText="1"/>
    </xf>
    <xf borderId="0" fillId="24" fontId="2" numFmtId="0" xfId="0" applyAlignment="1" applyFont="1">
      <alignment readingOrder="0" shrinkToFit="0" wrapText="1"/>
    </xf>
    <xf borderId="0" fillId="24" fontId="2" numFmtId="0" xfId="0" applyAlignment="1" applyFont="1">
      <alignment readingOrder="0" vertical="center"/>
    </xf>
    <xf borderId="0" fillId="24" fontId="2" numFmtId="0" xfId="0" applyAlignment="1" applyFont="1">
      <alignment horizontal="center" readingOrder="0" shrinkToFit="0" vertical="center" wrapText="1"/>
    </xf>
    <xf borderId="0" fillId="24" fontId="2" numFmtId="0" xfId="0" applyAlignment="1" applyFont="1">
      <alignment horizontal="center" readingOrder="0" vertical="center"/>
    </xf>
    <xf borderId="0" fillId="24" fontId="2" numFmtId="0" xfId="0" applyAlignment="1" applyFont="1">
      <alignment readingOrder="0"/>
    </xf>
    <xf borderId="0" fillId="24" fontId="2" numFmtId="0" xfId="0" applyAlignment="1" applyFont="1">
      <alignment horizontal="center" readingOrder="0" shrinkToFit="0" wrapText="1"/>
    </xf>
    <xf borderId="0" fillId="16" fontId="1" numFmtId="0" xfId="0" applyAlignment="1" applyFont="1">
      <alignment readingOrder="0"/>
    </xf>
    <xf borderId="0" fillId="16" fontId="2" numFmtId="0" xfId="0" applyAlignment="1" applyFont="1">
      <alignment horizontal="center" readingOrder="0"/>
    </xf>
    <xf borderId="0" fillId="16" fontId="2" numFmtId="0" xfId="0" applyAlignment="1" applyFont="1">
      <alignment horizontal="left" readingOrder="0" shrinkToFit="0" vertical="center" wrapText="1"/>
    </xf>
    <xf borderId="0" fillId="16" fontId="2" numFmtId="0" xfId="0" applyAlignment="1" applyFont="1">
      <alignment horizontal="center" readingOrder="0" vertical="center"/>
    </xf>
    <xf borderId="0" fillId="16" fontId="2" numFmtId="0" xfId="0" applyAlignment="1" applyFont="1">
      <alignment readingOrder="0" shrinkToFit="0" wrapText="1"/>
    </xf>
    <xf borderId="0" fillId="16" fontId="2" numFmtId="0" xfId="0" applyAlignment="1" applyFont="1">
      <alignment horizontal="center"/>
    </xf>
    <xf borderId="0" fillId="7" fontId="1" numFmtId="0" xfId="0" applyAlignment="1" applyFont="1">
      <alignment readingOrder="0"/>
    </xf>
    <xf borderId="0" fillId="7" fontId="2" numFmtId="0" xfId="0" applyAlignment="1" applyFont="1">
      <alignment horizontal="center"/>
    </xf>
    <xf borderId="0" fillId="7" fontId="2" numFmtId="0" xfId="0" applyAlignment="1" applyFont="1">
      <alignment horizontal="center" readingOrder="0"/>
    </xf>
    <xf borderId="0" fillId="7" fontId="1" numFmtId="0" xfId="0" applyAlignment="1" applyFont="1">
      <alignment horizontal="center" readingOrder="0" shrinkToFit="0" wrapText="1"/>
    </xf>
    <xf borderId="0" fillId="7" fontId="1" numFmtId="0" xfId="0" applyAlignment="1" applyFont="1">
      <alignment horizontal="center" readingOrder="0"/>
    </xf>
    <xf borderId="0" fillId="4" fontId="1" numFmtId="0" xfId="0" applyAlignment="1" applyFont="1">
      <alignment readingOrder="0"/>
    </xf>
    <xf borderId="0" fillId="4" fontId="2" numFmtId="0" xfId="0" applyFont="1"/>
    <xf borderId="0" fillId="4" fontId="2" numFmtId="0" xfId="0" applyAlignment="1" applyFont="1">
      <alignment horizontal="center" readingOrder="0"/>
    </xf>
    <xf borderId="0" fillId="4" fontId="1" numFmtId="0" xfId="0" applyFont="1"/>
    <xf borderId="0" fillId="4" fontId="2" numFmtId="0" xfId="0" applyAlignment="1" applyFont="1">
      <alignment horizontal="center"/>
    </xf>
    <xf borderId="0" fillId="4" fontId="41" numFmtId="0" xfId="0" applyAlignment="1" applyFont="1">
      <alignment readingOrder="0"/>
    </xf>
    <xf borderId="0" fillId="19" fontId="1" numFmtId="0" xfId="0" applyAlignment="1" applyFont="1">
      <alignment readingOrder="0"/>
    </xf>
    <xf borderId="0" fillId="19" fontId="2" numFmtId="0" xfId="0" applyAlignment="1" applyFont="1">
      <alignment horizontal="center" readingOrder="0"/>
    </xf>
    <xf borderId="0" fillId="19" fontId="2" numFmtId="0" xfId="0" applyFont="1"/>
    <xf borderId="0" fillId="19" fontId="2" numFmtId="0" xfId="0" applyAlignment="1" applyFont="1">
      <alignment horizontal="center"/>
    </xf>
    <xf borderId="0" fillId="19" fontId="1" numFmtId="0" xfId="0" applyFont="1"/>
    <xf borderId="0" fillId="7" fontId="1" numFmtId="0" xfId="0" applyFont="1"/>
    <xf borderId="0" fillId="6" fontId="2" numFmtId="0" xfId="0" applyAlignment="1" applyFont="1">
      <alignment readingOrder="0"/>
    </xf>
    <xf borderId="0" fillId="6" fontId="2" numFmtId="0" xfId="0" applyAlignment="1" applyFont="1">
      <alignment horizontal="center" readingOrder="0"/>
    </xf>
    <xf borderId="0" fillId="6" fontId="2" numFmtId="0" xfId="0" applyAlignment="1" applyFont="1">
      <alignment horizontal="center"/>
    </xf>
    <xf borderId="0" fillId="25" fontId="1" numFmtId="0" xfId="0" applyAlignment="1" applyFill="1" applyFont="1">
      <alignment readingOrder="0"/>
    </xf>
    <xf borderId="0" fillId="25" fontId="2" numFmtId="0" xfId="0" applyFont="1"/>
    <xf borderId="0" fillId="25" fontId="2" numFmtId="0" xfId="0" applyAlignment="1" applyFont="1">
      <alignment horizontal="center"/>
    </xf>
    <xf borderId="0" fillId="25" fontId="1" numFmtId="0" xfId="0" applyFont="1"/>
    <xf borderId="0" fillId="25" fontId="1" numFmtId="0" xfId="0" applyAlignment="1" applyFont="1">
      <alignment readingOrder="0" shrinkToFit="0" wrapText="1"/>
    </xf>
    <xf borderId="0" fillId="25" fontId="2" numFmtId="0" xfId="0" applyAlignment="1" applyFont="1">
      <alignment readingOrder="0" shrinkToFit="0" wrapText="1"/>
    </xf>
    <xf borderId="0" fillId="25" fontId="2" numFmtId="0" xfId="0" applyAlignment="1" applyFont="1">
      <alignment horizontal="center" readingOrder="0"/>
    </xf>
    <xf borderId="0" fillId="25" fontId="2" numFmtId="0" xfId="0" applyAlignment="1" applyFont="1">
      <alignment readingOrder="0"/>
    </xf>
    <xf borderId="0" fillId="5" fontId="1" numFmtId="0" xfId="0" applyAlignment="1" applyFont="1">
      <alignment readingOrder="0" shrinkToFit="0" wrapText="1"/>
    </xf>
    <xf borderId="0" fillId="5" fontId="1" numFmtId="0" xfId="0" applyFont="1"/>
    <xf borderId="0" fillId="15" fontId="1" numFmtId="0" xfId="0" applyAlignment="1" applyFont="1">
      <alignment readingOrder="0"/>
    </xf>
    <xf borderId="0" fillId="15" fontId="2" numFmtId="0" xfId="0" applyAlignment="1" applyFont="1">
      <alignment readingOrder="0" shrinkToFit="0" wrapText="1"/>
    </xf>
    <xf borderId="0" fillId="15" fontId="2" numFmtId="0" xfId="0" applyAlignment="1" applyFont="1">
      <alignment horizontal="center" readingOrder="0"/>
    </xf>
    <xf borderId="0" fillId="15" fontId="2" numFmtId="0" xfId="0" applyAlignment="1" applyFont="1">
      <alignment readingOrder="0"/>
    </xf>
    <xf borderId="0" fillId="15" fontId="1" numFmtId="0" xfId="0" applyFont="1"/>
    <xf borderId="0" fillId="15" fontId="2" numFmtId="0" xfId="0" applyFont="1"/>
    <xf borderId="0" fillId="16" fontId="1" numFmtId="0" xfId="0" applyFont="1"/>
    <xf borderId="0" fillId="16" fontId="2" numFmtId="0" xfId="0" applyAlignment="1" applyFont="1">
      <alignment horizontal="center" readingOrder="0" shrinkToFit="0" wrapText="1"/>
    </xf>
    <xf borderId="0" fillId="16" fontId="2" numFmtId="0" xfId="0" applyAlignment="1" applyFont="1">
      <alignment readingOrder="0" shrinkToFit="0" wrapText="1"/>
    </xf>
    <xf borderId="0" fillId="0" fontId="1" numFmtId="0" xfId="0" applyFont="1"/>
    <xf borderId="1" fillId="0" fontId="4" numFmtId="1" xfId="0" applyBorder="1" applyFont="1" applyNumberFormat="1"/>
    <xf borderId="1" fillId="26" fontId="42" numFmtId="1" xfId="0" applyAlignment="1" applyBorder="1" applyFill="1" applyFont="1" applyNumberFormat="1">
      <alignment horizontal="center" shrinkToFit="0" wrapText="1"/>
    </xf>
    <xf borderId="1" fillId="26" fontId="42" numFmtId="1" xfId="0" applyAlignment="1" applyBorder="1" applyFont="1" applyNumberFormat="1">
      <alignment horizontal="center" readingOrder="0" shrinkToFit="0" wrapText="1"/>
    </xf>
    <xf borderId="28" fillId="27" fontId="42" numFmtId="1" xfId="0" applyAlignment="1" applyBorder="1" applyFill="1" applyFont="1" applyNumberFormat="1">
      <alignment horizontal="center" shrinkToFit="0" textRotation="90" vertical="center" wrapText="1"/>
    </xf>
    <xf borderId="9" fillId="0" fontId="42" numFmtId="1" xfId="0" applyAlignment="1" applyBorder="1" applyFont="1" applyNumberFormat="1">
      <alignment readingOrder="0"/>
    </xf>
    <xf borderId="9" fillId="17" fontId="42" numFmtId="3" xfId="0" applyAlignment="1" applyBorder="1" applyFont="1" applyNumberFormat="1">
      <alignment horizontal="right" readingOrder="0" vertical="bottom"/>
    </xf>
    <xf borderId="11" fillId="0" fontId="42" numFmtId="3" xfId="0" applyAlignment="1" applyBorder="1" applyFont="1" applyNumberFormat="1">
      <alignment horizontal="right" readingOrder="0" vertical="bottom"/>
    </xf>
    <xf borderId="11" fillId="4" fontId="42" numFmtId="10" xfId="0" applyAlignment="1" applyBorder="1" applyFont="1" applyNumberFormat="1">
      <alignment horizontal="center" vertical="bottom"/>
    </xf>
    <xf borderId="28" fillId="0" fontId="24" numFmtId="0" xfId="0" applyBorder="1" applyFont="1"/>
    <xf borderId="1" fillId="0" fontId="42" numFmtId="1" xfId="0" applyBorder="1" applyFont="1" applyNumberFormat="1"/>
    <xf borderId="1" fillId="0" fontId="42" numFmtId="3" xfId="0" applyAlignment="1" applyBorder="1" applyFont="1" applyNumberFormat="1">
      <alignment horizontal="right" readingOrder="0" vertical="bottom"/>
    </xf>
    <xf borderId="2" fillId="0" fontId="43" numFmtId="1" xfId="0" applyBorder="1" applyFont="1" applyNumberFormat="1"/>
    <xf borderId="1" fillId="0" fontId="43" numFmtId="3" xfId="0" applyAlignment="1" applyBorder="1" applyFont="1" applyNumberFormat="1">
      <alignment horizontal="right" readingOrder="0" vertical="bottom"/>
    </xf>
    <xf borderId="29" fillId="0" fontId="43" numFmtId="3" xfId="0" applyAlignment="1" applyBorder="1" applyFont="1" applyNumberFormat="1">
      <alignment horizontal="right" readingOrder="0" vertical="bottom"/>
    </xf>
    <xf borderId="29" fillId="0" fontId="42" numFmtId="3" xfId="0" applyAlignment="1" applyBorder="1" applyFont="1" applyNumberFormat="1">
      <alignment horizontal="right" readingOrder="0" vertical="bottom"/>
    </xf>
    <xf borderId="9" fillId="0" fontId="43" numFmtId="1" xfId="0" applyBorder="1" applyFont="1" applyNumberFormat="1"/>
    <xf borderId="1" fillId="0" fontId="43" numFmtId="1" xfId="0" applyAlignment="1" applyBorder="1" applyFont="1" applyNumberFormat="1">
      <alignment horizontal="right" readingOrder="0" vertical="bottom"/>
    </xf>
    <xf borderId="29" fillId="0" fontId="43" numFmtId="1" xfId="0" applyAlignment="1" applyBorder="1" applyFont="1" applyNumberFormat="1">
      <alignment horizontal="right" readingOrder="0" vertical="bottom"/>
    </xf>
    <xf borderId="4" fillId="0" fontId="43" numFmtId="1" xfId="0" applyAlignment="1" applyBorder="1" applyFont="1" applyNumberFormat="1">
      <alignment horizontal="right" readingOrder="0" vertical="bottom"/>
    </xf>
    <xf borderId="2" fillId="0" fontId="42" numFmtId="1" xfId="0" applyBorder="1" applyFont="1" applyNumberFormat="1"/>
    <xf borderId="1" fillId="0" fontId="43" numFmtId="10" xfId="0" applyAlignment="1" applyBorder="1" applyFont="1" applyNumberFormat="1">
      <alignment horizontal="right" vertical="bottom"/>
    </xf>
    <xf borderId="30" fillId="0" fontId="24" numFmtId="0" xfId="0" applyBorder="1" applyFont="1"/>
    <xf borderId="31" fillId="0" fontId="43" numFmtId="1" xfId="0" applyBorder="1" applyFont="1" applyNumberFormat="1"/>
    <xf borderId="26" fillId="0" fontId="43" numFmtId="1" xfId="0" applyAlignment="1" applyBorder="1" applyFont="1" applyNumberFormat="1">
      <alignment horizontal="right" readingOrder="0" vertical="bottom"/>
    </xf>
    <xf borderId="31" fillId="0" fontId="43" numFmtId="1" xfId="0" applyAlignment="1" applyBorder="1" applyFont="1" applyNumberFormat="1">
      <alignment horizontal="right" readingOrder="0" vertical="bottom"/>
    </xf>
    <xf borderId="32" fillId="4" fontId="42" numFmtId="10" xfId="0" applyAlignment="1" applyBorder="1" applyFont="1" applyNumberFormat="1">
      <alignment horizontal="center" vertical="bottom"/>
    </xf>
    <xf borderId="28" fillId="28" fontId="42" numFmtId="1" xfId="0" applyAlignment="1" applyBorder="1" applyFill="1" applyFont="1" applyNumberFormat="1">
      <alignment horizontal="center" shrinkToFit="0" textRotation="90" vertical="center" wrapText="1"/>
    </xf>
    <xf borderId="9" fillId="0" fontId="43" numFmtId="3" xfId="0" applyAlignment="1" applyBorder="1" applyFont="1" applyNumberFormat="1">
      <alignment horizontal="right" readingOrder="0" vertical="bottom"/>
    </xf>
    <xf borderId="9" fillId="0" fontId="43" numFmtId="1" xfId="0" applyAlignment="1" applyBorder="1" applyFont="1" applyNumberFormat="1">
      <alignment horizontal="right" readingOrder="0" vertical="bottom"/>
    </xf>
    <xf borderId="9" fillId="0" fontId="42" numFmtId="1" xfId="0" applyBorder="1" applyFont="1" applyNumberFormat="1"/>
    <xf borderId="9" fillId="0" fontId="42" numFmtId="3" xfId="0" applyAlignment="1" applyBorder="1" applyFont="1" applyNumberFormat="1">
      <alignment horizontal="right" readingOrder="0" vertical="bottom"/>
    </xf>
    <xf borderId="1" fillId="0" fontId="43" numFmtId="1" xfId="0" applyAlignment="1" applyBorder="1" applyFont="1" applyNumberFormat="1">
      <alignment readingOrder="0"/>
    </xf>
    <xf borderId="1" fillId="0" fontId="42" numFmtId="10" xfId="0" applyAlignment="1" applyBorder="1" applyFont="1" applyNumberFormat="1">
      <alignment horizontal="right" vertical="bottom"/>
    </xf>
    <xf borderId="33" fillId="0" fontId="43" numFmtId="1" xfId="0" applyAlignment="1" applyBorder="1" applyFont="1" applyNumberFormat="1">
      <alignment horizontal="right" readingOrder="0" vertical="bottom"/>
    </xf>
    <xf borderId="0" fillId="0" fontId="2" numFmtId="0" xfId="0" applyAlignment="1" applyFont="1">
      <alignment horizontal="right"/>
    </xf>
    <xf borderId="0" fillId="17" fontId="44" numFmtId="0" xfId="0" applyAlignment="1" applyFont="1">
      <alignment readingOrder="0"/>
    </xf>
    <xf borderId="0" fillId="0" fontId="45" numFmtId="0" xfId="0" applyAlignment="1" applyFont="1">
      <alignment readingOrder="0"/>
    </xf>
    <xf borderId="1" fillId="18" fontId="42" numFmtId="1" xfId="0" applyAlignment="1" applyBorder="1" applyFont="1" applyNumberFormat="1">
      <alignment horizontal="center" readingOrder="0" shrinkToFit="0" wrapText="1"/>
    </xf>
    <xf borderId="1" fillId="26" fontId="42" numFmtId="1" xfId="0" applyAlignment="1" applyBorder="1" applyFont="1" applyNumberFormat="1">
      <alignment horizontal="center" readingOrder="0" shrinkToFit="0" vertical="bottom" wrapText="1"/>
    </xf>
    <xf borderId="11" fillId="4" fontId="42" numFmtId="3" xfId="0" applyAlignment="1" applyBorder="1" applyFont="1" applyNumberFormat="1">
      <alignment horizontal="center" vertical="bottom"/>
    </xf>
    <xf borderId="11" fillId="0" fontId="42" numFmtId="0" xfId="0" applyAlignment="1" applyBorder="1" applyFont="1">
      <alignment horizontal="right" readingOrder="0" vertical="bottom"/>
    </xf>
    <xf borderId="11" fillId="0" fontId="42" numFmtId="10" xfId="0" applyAlignment="1" applyBorder="1" applyFont="1" applyNumberFormat="1">
      <alignment horizontal="right" readingOrder="0" vertical="bottom"/>
    </xf>
    <xf borderId="11" fillId="4" fontId="42" numFmtId="4" xfId="0" applyAlignment="1" applyBorder="1" applyFont="1" applyNumberFormat="1">
      <alignment horizontal="center" vertical="bottom"/>
    </xf>
    <xf borderId="1" fillId="0" fontId="43" numFmtId="1" xfId="0" applyBorder="1" applyFont="1" applyNumberFormat="1"/>
    <xf borderId="11" fillId="0" fontId="43" numFmtId="3" xfId="0" applyAlignment="1" applyBorder="1" applyFont="1" applyNumberFormat="1">
      <alignment horizontal="right" readingOrder="0" vertical="bottom"/>
    </xf>
    <xf borderId="11" fillId="0" fontId="43" numFmtId="10" xfId="0" applyAlignment="1" applyBorder="1" applyFont="1" applyNumberFormat="1">
      <alignment horizontal="right" readingOrder="0" vertical="bottom"/>
    </xf>
    <xf borderId="11" fillId="0" fontId="43" numFmtId="1" xfId="0" applyAlignment="1" applyBorder="1" applyFont="1" applyNumberFormat="1">
      <alignment horizontal="right" readingOrder="0" vertical="bottom"/>
    </xf>
    <xf borderId="34" fillId="0" fontId="42" numFmtId="1" xfId="0" applyBorder="1" applyFont="1" applyNumberFormat="1"/>
    <xf borderId="31" fillId="0" fontId="43" numFmtId="10" xfId="0" applyAlignment="1" applyBorder="1" applyFont="1" applyNumberFormat="1">
      <alignment horizontal="right" vertical="bottom"/>
    </xf>
    <xf borderId="32" fillId="0" fontId="42" numFmtId="10" xfId="0" applyAlignment="1" applyBorder="1" applyFont="1" applyNumberFormat="1">
      <alignment horizontal="right" readingOrder="0" vertical="bottom"/>
    </xf>
    <xf borderId="32" fillId="4" fontId="42" numFmtId="4" xfId="0" applyAlignment="1" applyBorder="1" applyFont="1" applyNumberFormat="1">
      <alignment horizontal="center" vertical="bottom"/>
    </xf>
    <xf borderId="32" fillId="0" fontId="43" numFmtId="10" xfId="0" applyAlignment="1" applyBorder="1" applyFont="1" applyNumberFormat="1">
      <alignment horizontal="right" vertical="bottom"/>
    </xf>
    <xf borderId="32" fillId="0" fontId="42" numFmtId="10" xfId="0" applyAlignment="1" applyBorder="1" applyFont="1" applyNumberFormat="1">
      <alignment horizontal="right" vertical="bottom"/>
    </xf>
    <xf borderId="32" fillId="0" fontId="43" numFmtId="1" xfId="0" applyBorder="1" applyFont="1" applyNumberFormat="1"/>
    <xf borderId="34" fillId="0" fontId="43" numFmtId="1" xfId="0" applyAlignment="1" applyBorder="1" applyFont="1" applyNumberFormat="1">
      <alignment horizontal="right" readingOrder="0" vertical="bottom"/>
    </xf>
    <xf borderId="32" fillId="0" fontId="43" numFmtId="1" xfId="0" applyAlignment="1" applyBorder="1" applyFont="1" applyNumberFormat="1">
      <alignment horizontal="right" readingOrder="0" vertical="bottom"/>
    </xf>
    <xf borderId="32" fillId="0" fontId="43" numFmtId="3" xfId="0" applyAlignment="1" applyBorder="1" applyFont="1" applyNumberFormat="1">
      <alignment horizontal="right" readingOrder="0" vertical="bottom"/>
    </xf>
    <xf borderId="32" fillId="0" fontId="42" numFmtId="3" xfId="0" applyAlignment="1" applyBorder="1" applyFont="1" applyNumberFormat="1">
      <alignment horizontal="right" readingOrder="0" vertical="bottom"/>
    </xf>
    <xf borderId="11" fillId="0" fontId="42" numFmtId="1" xfId="0" applyAlignment="1" applyBorder="1" applyFont="1" applyNumberFormat="1">
      <alignment horizontal="right" readingOrder="0" vertical="bottom"/>
    </xf>
    <xf borderId="31" fillId="0" fontId="42" numFmtId="10" xfId="0" applyAlignment="1" applyBorder="1" applyFont="1" applyNumberFormat="1">
      <alignment horizontal="right" vertical="bottom"/>
    </xf>
    <xf borderId="0" fillId="0" fontId="2" numFmtId="10" xfId="0" applyFont="1" applyNumberFormat="1"/>
    <xf borderId="28" fillId="27" fontId="42" numFmtId="1" xfId="0" applyAlignment="1" applyBorder="1" applyFont="1" applyNumberFormat="1">
      <alignment horizontal="center" readingOrder="0" shrinkToFit="0" textRotation="90" vertical="center" wrapText="1"/>
    </xf>
    <xf borderId="2" fillId="0" fontId="42" numFmtId="1" xfId="0" applyAlignment="1" applyBorder="1" applyFont="1" applyNumberFormat="1">
      <alignment readingOrder="0"/>
    </xf>
    <xf borderId="28" fillId="28" fontId="42" numFmtId="1" xfId="0" applyAlignment="1" applyBorder="1" applyFont="1" applyNumberFormat="1">
      <alignment horizontal="center" readingOrder="0" shrinkToFit="0" textRotation="90" vertical="center" wrapText="1"/>
    </xf>
    <xf borderId="9" fillId="0" fontId="43" numFmtId="1" xfId="0" applyAlignment="1" applyBorder="1" applyFont="1" applyNumberFormat="1">
      <alignment readingOrder="0"/>
    </xf>
    <xf borderId="9" fillId="17" fontId="43" numFmtId="3" xfId="0" applyAlignment="1" applyBorder="1" applyFont="1" applyNumberFormat="1">
      <alignment horizontal="right" readingOrder="0" vertical="bottom"/>
    </xf>
    <xf borderId="11" fillId="0" fontId="42" numFmtId="10" xfId="0" applyAlignment="1" applyBorder="1" applyFont="1" applyNumberFormat="1">
      <alignment horizontal="center" vertical="bottom"/>
    </xf>
    <xf borderId="1" fillId="0" fontId="43" numFmtId="1" xfId="0" applyAlignment="1" applyBorder="1" applyFont="1" applyNumberFormat="1">
      <alignment readingOrder="0"/>
    </xf>
    <xf borderId="34" fillId="0" fontId="43" numFmtId="1" xfId="0" applyAlignment="1" applyBorder="1" applyFont="1" applyNumberFormat="1">
      <alignment readingOrder="0"/>
    </xf>
    <xf borderId="32" fillId="0" fontId="42" numFmtId="10" xfId="0" applyAlignment="1" applyBorder="1" applyFont="1" applyNumberFormat="1">
      <alignment horizontal="center" vertical="bottom"/>
    </xf>
    <xf borderId="2" fillId="0" fontId="43" numFmtId="3" xfId="0" applyAlignment="1" applyBorder="1" applyFont="1" applyNumberFormat="1">
      <alignment horizontal="right" readingOrder="0" vertical="bottom"/>
    </xf>
    <xf borderId="10" fillId="0" fontId="42" numFmtId="10" xfId="0" applyAlignment="1" applyBorder="1" applyFont="1" applyNumberFormat="1">
      <alignment horizontal="center" vertical="bottom"/>
    </xf>
    <xf borderId="0" fillId="0" fontId="43" numFmtId="1" xfId="0" applyFont="1" applyNumberFormat="1"/>
    <xf borderId="0" fillId="0" fontId="43" numFmtId="1" xfId="0" applyAlignment="1" applyFont="1" applyNumberFormat="1">
      <alignment horizontal="right" readingOrder="0" vertical="bottom"/>
    </xf>
    <xf borderId="0" fillId="0" fontId="42" numFmtId="10" xfId="0" applyAlignment="1" applyFont="1" applyNumberFormat="1">
      <alignment horizontal="center" vertical="bottom"/>
    </xf>
    <xf borderId="0" fillId="0" fontId="42" numFmtId="1" xfId="0" applyFont="1" applyNumberFormat="1"/>
    <xf borderId="0" fillId="0" fontId="42" numFmtId="3" xfId="0" applyAlignment="1" applyFont="1" applyNumberFormat="1">
      <alignment horizontal="right" readingOrder="0" vertical="bottom"/>
    </xf>
    <xf borderId="0" fillId="0" fontId="42" numFmtId="1" xfId="0" applyAlignment="1" applyFont="1" applyNumberFormat="1">
      <alignment readingOrder="0"/>
    </xf>
    <xf borderId="0" fillId="0" fontId="43" numFmtId="1" xfId="0" applyAlignment="1" applyFont="1" applyNumberFormat="1">
      <alignment readingOrder="0"/>
    </xf>
    <xf borderId="0" fillId="0" fontId="42" numFmtId="10" xfId="0" applyAlignment="1" applyFont="1" applyNumberFormat="1">
      <alignment horizontal="right" vertical="bottom"/>
    </xf>
    <xf borderId="1" fillId="2" fontId="1" numFmtId="170" xfId="0" applyAlignment="1" applyBorder="1" applyFont="1" applyNumberFormat="1">
      <alignment horizontal="center" readingOrder="0"/>
    </xf>
    <xf borderId="1" fillId="2" fontId="1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170" xfId="0" applyAlignment="1" applyBorder="1" applyFont="1" applyNumberFormat="1">
      <alignment horizontal="right" readingOrder="0"/>
    </xf>
    <xf borderId="1" fillId="0" fontId="13" numFmtId="0" xfId="0" applyAlignment="1" applyBorder="1" applyFont="1">
      <alignment readingOrder="0" shrinkToFit="0" vertical="bottom" wrapText="0"/>
    </xf>
    <xf borderId="1" fillId="0" fontId="2" numFmtId="166" xfId="0" applyAlignment="1" applyBorder="1" applyFont="1" applyNumberFormat="1">
      <alignment horizontal="right" readingOrder="0"/>
    </xf>
    <xf borderId="1" fillId="0" fontId="2" numFmtId="0" xfId="0" applyBorder="1" applyFont="1"/>
    <xf borderId="1" fillId="0" fontId="2" numFmtId="167" xfId="0" applyAlignment="1" applyBorder="1" applyFont="1" applyNumberFormat="1">
      <alignment readingOrder="0"/>
    </xf>
    <xf borderId="1" fillId="2" fontId="1" numFmtId="170" xfId="0" applyAlignment="1" applyBorder="1" applyFont="1" applyNumberFormat="1">
      <alignment horizontal="right" readingOrder="0"/>
    </xf>
    <xf borderId="35" fillId="0" fontId="46" numFmtId="0" xfId="0" applyAlignment="1" applyBorder="1" applyFont="1">
      <alignment vertical="bottom"/>
    </xf>
    <xf borderId="36" fillId="0" fontId="46" numFmtId="0" xfId="0" applyAlignment="1" applyBorder="1" applyFont="1">
      <alignment vertical="bottom"/>
    </xf>
    <xf borderId="0" fillId="0" fontId="2" numFmtId="170" xfId="0" applyAlignment="1" applyFont="1" applyNumberFormat="1">
      <alignment horizontal="right" readingOrder="0"/>
    </xf>
    <xf borderId="37" fillId="0" fontId="13" numFmtId="0" xfId="0" applyAlignment="1" applyBorder="1" applyFont="1">
      <alignment readingOrder="0" shrinkToFit="0" vertical="bottom" wrapText="0"/>
    </xf>
    <xf borderId="1" fillId="6" fontId="47" numFmtId="0" xfId="0" applyAlignment="1" applyBorder="1" applyFont="1">
      <alignment readingOrder="0"/>
    </xf>
    <xf borderId="1" fillId="6" fontId="48" numFmtId="0" xfId="0" applyAlignment="1" applyBorder="1" applyFont="1">
      <alignment readingOrder="0"/>
    </xf>
    <xf borderId="0" fillId="0" fontId="2" numFmtId="0" xfId="0" applyAlignment="1" applyFont="1">
      <alignment horizontal="right" readingOrder="0"/>
    </xf>
    <xf borderId="1" fillId="0" fontId="2" numFmtId="0" xfId="0" applyAlignment="1" applyBorder="1" applyFont="1">
      <alignment horizontal="right"/>
    </xf>
    <xf borderId="1" fillId="17" fontId="49" numFmtId="0" xfId="0" applyAlignment="1" applyBorder="1" applyFont="1">
      <alignment readingOrder="0"/>
    </xf>
    <xf borderId="1" fillId="17" fontId="50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horizontal="right" readingOrder="0" vertical="bottom"/>
    </xf>
    <xf borderId="1" fillId="0" fontId="2" numFmtId="170" xfId="0" applyAlignment="1" applyBorder="1" applyFont="1" applyNumberFormat="1">
      <alignment horizontal="right"/>
    </xf>
    <xf borderId="0" fillId="0" fontId="2" numFmtId="170" xfId="0" applyAlignment="1" applyFont="1" applyNumberFormat="1">
      <alignment horizontal="right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</dxfs>
  <tableStyles count="1">
    <tableStyle count="4" pivot="0" name="Díasfechas señalada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0</xdr:colOff>
      <xdr:row>2</xdr:row>
      <xdr:rowOff>0</xdr:rowOff>
    </xdr:from>
    <xdr:ext cx="85725" cy="2000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0</xdr:rowOff>
    </xdr:from>
    <xdr:ext cx="1666875" cy="37147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33" displayName="Taula1" name="Taula1" id="1">
  <tableColumns count="4">
    <tableColumn name="Fechas especiales Cortag USA 2025" id="1"/>
    <tableColumn name="Evento" id="2"/>
    <tableColumn name="Tipología" id="3"/>
    <tableColumn name="Representativo" id="4"/>
  </tableColumns>
  <tableStyleInfo name="Díasfechas señalad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CcdvqhPpeJz/?img_index=1)" TargetMode="External"/><Relationship Id="rId2" Type="http://schemas.openxmlformats.org/officeDocument/2006/relationships/hyperlink" Target="https://www.instagram.com/p/CYcEq1rlxmw/" TargetMode="External"/><Relationship Id="rId3" Type="http://schemas.openxmlformats.org/officeDocument/2006/relationships/hyperlink" Target="https://www.instagram.com/reel/DL8aPZ4MHOH/?igsh=MXRpYTdiYWw5YmNiOQ==" TargetMode="External"/><Relationship Id="rId4" Type="http://schemas.openxmlformats.org/officeDocument/2006/relationships/hyperlink" Target="https://www.instagram.com/p/CRWGq7GoFJB/" TargetMode="External"/><Relationship Id="rId5" Type="http://schemas.openxmlformats.org/officeDocument/2006/relationships/hyperlink" Target="https://www.instagram.com/stories/highlights/18029413585221965/" TargetMode="External"/><Relationship Id="rId6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nstagram.com/reel/DWmLnWmD2_R/?igsh=ZWxhY3Vrb2p4NHZ6" TargetMode="External"/><Relationship Id="rId10" Type="http://schemas.openxmlformats.org/officeDocument/2006/relationships/hyperlink" Target="https://www.instagram.com/reel/DWU5fyWEfog/?igsh=Z29wandxa2d6eTAx" TargetMode="External"/><Relationship Id="rId13" Type="http://schemas.openxmlformats.org/officeDocument/2006/relationships/hyperlink" Target="https://www.instagram.com/reel/DXBOKmWEbPq/?igsh=ams5amJsYjV5d2Z4" TargetMode="External"/><Relationship Id="rId12" Type="http://schemas.openxmlformats.org/officeDocument/2006/relationships/hyperlink" Target="https://www.instagram.com/reel/DW754T8CQFo/?igsh=MW16bnZkNXR3YnZ2eQ==" TargetMode="External"/><Relationship Id="rId1" Type="http://schemas.openxmlformats.org/officeDocument/2006/relationships/hyperlink" Target="https://www.instagram.com/reel/DTmQQCwjRyW/" TargetMode="External"/><Relationship Id="rId2" Type="http://schemas.openxmlformats.org/officeDocument/2006/relationships/hyperlink" Target="https://www.instagram.com/yourtiledesignguy/reel/DT34_evj2y8/" TargetMode="External"/><Relationship Id="rId3" Type="http://schemas.openxmlformats.org/officeDocument/2006/relationships/hyperlink" Target="https://www.instagram.com/dg_pro_remodeling_llc/reel/DUpTC7jDOt8/" TargetMode="External"/><Relationship Id="rId4" Type="http://schemas.openxmlformats.org/officeDocument/2006/relationships/hyperlink" Target="https://www.instagram.com/p/DTopAT9jZHY/" TargetMode="External"/><Relationship Id="rId9" Type="http://schemas.openxmlformats.org/officeDocument/2006/relationships/hyperlink" Target="https://www.instagram.com/dg_pro_remodeling_llc/reel/DVpXdDlEWu_/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www.instagram.com/dg_pro_remodeling_llc/reel/DU3bS4mkcER/" TargetMode="External"/><Relationship Id="rId6" Type="http://schemas.openxmlformats.org/officeDocument/2006/relationships/hyperlink" Target="https://www.instagram.com/reel/DUsF8wPDs1B/" TargetMode="External"/><Relationship Id="rId7" Type="http://schemas.openxmlformats.org/officeDocument/2006/relationships/hyperlink" Target="https://www.instagram.com/reel/DU_KHVYkRRq/" TargetMode="External"/><Relationship Id="rId8" Type="http://schemas.openxmlformats.org/officeDocument/2006/relationships/hyperlink" Target="https://www.instagram.com/reel/DUv6zo5DqBO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CrRsEylAwut/" TargetMode="External"/><Relationship Id="rId2" Type="http://schemas.openxmlformats.org/officeDocument/2006/relationships/hyperlink" Target="https://www.instagram.com/p/Cx1K4LHxCB7/" TargetMode="External"/><Relationship Id="rId3" Type="http://schemas.openxmlformats.org/officeDocument/2006/relationships/hyperlink" Target="https://www.instagram.com/p/CcdvqhPpeJz/?img_index=1)" TargetMode="External"/><Relationship Id="rId4" Type="http://schemas.openxmlformats.org/officeDocument/2006/relationships/hyperlink" Target="https://www.instagram.com/p/CYcEq1rlxmw/" TargetMode="External"/><Relationship Id="rId5" Type="http://schemas.openxmlformats.org/officeDocument/2006/relationships/hyperlink" Target="https://www.instagram.com/reel/DL8aPZ4MHOH/?igsh=MXRpYTdiYWw5YmNiOQ==" TargetMode="External"/><Relationship Id="rId6" Type="http://schemas.openxmlformats.org/officeDocument/2006/relationships/hyperlink" Target="https://www.instagram.com/p/CRWGq7GoFJB/" TargetMode="External"/><Relationship Id="rId7" Type="http://schemas.openxmlformats.org/officeDocument/2006/relationships/hyperlink" Target="https://www.instagram.com/stories/highlights/18029413585221965/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PPMJ28iCtQ/" TargetMode="External"/><Relationship Id="rId2" Type="http://schemas.openxmlformats.org/officeDocument/2006/relationships/hyperlink" Target="https://docs.google.com/spreadsheets/d/1zp0KZXhJwAj-RWCMzg9mM1FZNijqlAt8whpaG2vbAzE/edit?gid=182848992" TargetMode="External"/><Relationship Id="rId3" Type="http://schemas.openxmlformats.org/officeDocument/2006/relationships/hyperlink" Target="https://docs.google.com/spreadsheets/d/1zp0KZXhJwAj-RWCMzg9mM1FZNijqlAt8whpaG2vbAzE/edit?gid=2104768177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instagram.com/p/CfKmASqFSqq/" TargetMode="External"/><Relationship Id="rId22" Type="http://schemas.openxmlformats.org/officeDocument/2006/relationships/hyperlink" Target="https://www.instagram.com/p/CazTMkclzJj/" TargetMode="External"/><Relationship Id="rId21" Type="http://schemas.openxmlformats.org/officeDocument/2006/relationships/hyperlink" Target="https://www.instagram.com/p/Ca3J9VNlBjb/" TargetMode="External"/><Relationship Id="rId24" Type="http://schemas.openxmlformats.org/officeDocument/2006/relationships/hyperlink" Target="https://www.instagram.com/p/CaPoHiAl1Nv/" TargetMode="External"/><Relationship Id="rId23" Type="http://schemas.openxmlformats.org/officeDocument/2006/relationships/hyperlink" Target="https://www.instagram.com/p/CcgAH9qARJF/" TargetMode="External"/><Relationship Id="rId1" Type="http://schemas.openxmlformats.org/officeDocument/2006/relationships/hyperlink" Target="https://www.instagram.com/p/DB07ELOxuhb/" TargetMode="External"/><Relationship Id="rId2" Type="http://schemas.openxmlformats.org/officeDocument/2006/relationships/hyperlink" Target="https://www.instagram.com/p/DBbKLeoxn12/" TargetMode="External"/><Relationship Id="rId3" Type="http://schemas.openxmlformats.org/officeDocument/2006/relationships/hyperlink" Target="https://www.instagram.com/p/Cx1K4LHxCB7/" TargetMode="External"/><Relationship Id="rId4" Type="http://schemas.openxmlformats.org/officeDocument/2006/relationships/hyperlink" Target="https://www.instagram.com/p/C9iNtCfRRPO/" TargetMode="External"/><Relationship Id="rId9" Type="http://schemas.openxmlformats.org/officeDocument/2006/relationships/hyperlink" Target="https://www.instagram.com/p/C0F116jIt8A/" TargetMode="External"/><Relationship Id="rId26" Type="http://schemas.openxmlformats.org/officeDocument/2006/relationships/hyperlink" Target="https://www.instagram.com/p/CY_4_yyFS6Y/" TargetMode="External"/><Relationship Id="rId25" Type="http://schemas.openxmlformats.org/officeDocument/2006/relationships/hyperlink" Target="https://www.instagram.com/p/CZexxPtO2Bo/" TargetMode="External"/><Relationship Id="rId28" Type="http://schemas.openxmlformats.org/officeDocument/2006/relationships/hyperlink" Target="https://www.instagram.com/reel/CslmYD0tcbc/?igsh=YzYxeWthYTVtNmkw" TargetMode="External"/><Relationship Id="rId27" Type="http://schemas.openxmlformats.org/officeDocument/2006/relationships/hyperlink" Target="https://www.instagram.com/p/CYty4telzHD/" TargetMode="External"/><Relationship Id="rId5" Type="http://schemas.openxmlformats.org/officeDocument/2006/relationships/hyperlink" Target="https://www.instagram.com/p/C8wtfkqohJC/" TargetMode="External"/><Relationship Id="rId6" Type="http://schemas.openxmlformats.org/officeDocument/2006/relationships/hyperlink" Target="https://www.instagram.com/p/C5pPyJAOIWq/" TargetMode="External"/><Relationship Id="rId29" Type="http://schemas.openxmlformats.org/officeDocument/2006/relationships/hyperlink" Target="https://www.instagram.com/p/C6l0bWKgmjl/" TargetMode="External"/><Relationship Id="rId7" Type="http://schemas.openxmlformats.org/officeDocument/2006/relationships/hyperlink" Target="https://www.instagram.com/p/C5173HpJBD3/" TargetMode="External"/><Relationship Id="rId8" Type="http://schemas.openxmlformats.org/officeDocument/2006/relationships/hyperlink" Target="https://www.instagram.com/p/C30NgJGr0st/" TargetMode="External"/><Relationship Id="rId31" Type="http://schemas.openxmlformats.org/officeDocument/2006/relationships/hyperlink" Target="https://www.instagram.com/p/C8j9tW_gHyE/" TargetMode="External"/><Relationship Id="rId30" Type="http://schemas.openxmlformats.org/officeDocument/2006/relationships/hyperlink" Target="https://www.instagram.com/p/DDExGjHRcGP/" TargetMode="External"/><Relationship Id="rId11" Type="http://schemas.openxmlformats.org/officeDocument/2006/relationships/hyperlink" Target="https://www.instagram.com/p/C0F116jIt8A/" TargetMode="External"/><Relationship Id="rId33" Type="http://schemas.openxmlformats.org/officeDocument/2006/relationships/hyperlink" Target="https://www.instagram.com/p/DECnvgvxEw_/" TargetMode="External"/><Relationship Id="rId10" Type="http://schemas.openxmlformats.org/officeDocument/2006/relationships/hyperlink" Target="https://www.instagram.com/p/C0UGfbjuUtC/" TargetMode="External"/><Relationship Id="rId32" Type="http://schemas.openxmlformats.org/officeDocument/2006/relationships/hyperlink" Target="https://www.instagram.com/p/DEYQV9FSQx-/" TargetMode="External"/><Relationship Id="rId13" Type="http://schemas.openxmlformats.org/officeDocument/2006/relationships/hyperlink" Target="https://www.instagram.com/p/CrOh50Rp82e/" TargetMode="External"/><Relationship Id="rId35" Type="http://schemas.openxmlformats.org/officeDocument/2006/relationships/hyperlink" Target="https://www.instagram.com/p/DGduGNJxkiO/?hl=es" TargetMode="External"/><Relationship Id="rId12" Type="http://schemas.openxmlformats.org/officeDocument/2006/relationships/hyperlink" Target="https://www.instagram.com/p/CrRsEylAwut/" TargetMode="External"/><Relationship Id="rId34" Type="http://schemas.openxmlformats.org/officeDocument/2006/relationships/hyperlink" Target="https://www.instagram.com/p/DDfol6jR61D/" TargetMode="External"/><Relationship Id="rId15" Type="http://schemas.openxmlformats.org/officeDocument/2006/relationships/hyperlink" Target="https://www.instagram.com/p/ChGBQ9cp2AJ/" TargetMode="External"/><Relationship Id="rId37" Type="http://schemas.openxmlformats.org/officeDocument/2006/relationships/drawing" Target="../drawings/drawing5.xml"/><Relationship Id="rId14" Type="http://schemas.openxmlformats.org/officeDocument/2006/relationships/hyperlink" Target="https://www.instagram.com/p/Cq6f-33ObJj/?img_index=5" TargetMode="External"/><Relationship Id="rId36" Type="http://schemas.openxmlformats.org/officeDocument/2006/relationships/hyperlink" Target="https://www.instagram.com/p/DUcfwjckV-M/" TargetMode="External"/><Relationship Id="rId17" Type="http://schemas.openxmlformats.org/officeDocument/2006/relationships/hyperlink" Target="https://www.instagram.com/p/CYcEq1rlxmw/" TargetMode="External"/><Relationship Id="rId16" Type="http://schemas.openxmlformats.org/officeDocument/2006/relationships/hyperlink" Target="https://www.instagram.com/p/CcdvqhPpeJz/?img_index=1" TargetMode="External"/><Relationship Id="rId19" Type="http://schemas.openxmlformats.org/officeDocument/2006/relationships/hyperlink" Target="https://www.instagram.com/p/ChW3pQmFRmu/" TargetMode="External"/><Relationship Id="rId18" Type="http://schemas.openxmlformats.org/officeDocument/2006/relationships/hyperlink" Target="https://www.instagram.com/p/DBGiJ8cR7Lv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p/DPOUnaRkfjy/" TargetMode="External"/><Relationship Id="rId2" Type="http://schemas.openxmlformats.org/officeDocument/2006/relationships/hyperlink" Target="https://www.instagram.com/p/DPaOMSekeYG/" TargetMode="External"/><Relationship Id="rId3" Type="http://schemas.openxmlformats.org/officeDocument/2006/relationships/hyperlink" Target="https://www.instagram.com/p/DPRXbbpFbwo/" TargetMode="External"/><Relationship Id="rId4" Type="http://schemas.openxmlformats.org/officeDocument/2006/relationships/hyperlink" Target="https://www.instagram.com/p/DPgUszoka_D/" TargetMode="External"/><Relationship Id="rId9" Type="http://schemas.openxmlformats.org/officeDocument/2006/relationships/hyperlink" Target="https://www.instagram.com/reel/DO-5eDqjuRE/?igsh=bThiNGJrM2o2cW9r" TargetMode="External"/><Relationship Id="rId5" Type="http://schemas.openxmlformats.org/officeDocument/2006/relationships/hyperlink" Target="https://www.instagram.com/p/DP3jR_7EUkt/" TargetMode="External"/><Relationship Id="rId6" Type="http://schemas.openxmlformats.org/officeDocument/2006/relationships/hyperlink" Target="https://www.instagram.com/reel/DOuQS1EiagM/?igsh=aWVqbjZtajV4dGRu" TargetMode="External"/><Relationship Id="rId7" Type="http://schemas.openxmlformats.org/officeDocument/2006/relationships/hyperlink" Target="https://www.instagram.com/p/DOzdmk0CcuX/" TargetMode="External"/><Relationship Id="rId8" Type="http://schemas.openxmlformats.org/officeDocument/2006/relationships/hyperlink" Target="https://www.instagram.com/reel/C8ISRRzJ2XP/?igsh=ZDF1eHQxMXE4N3c3" TargetMode="External"/><Relationship Id="rId10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1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versatile_llc/" TargetMode="External"/><Relationship Id="rId2" Type="http://schemas.openxmlformats.org/officeDocument/2006/relationships/hyperlink" Target="https://www.instagram.com/reel/DTmQQCwjRyW/" TargetMode="External"/><Relationship Id="rId3" Type="http://schemas.openxmlformats.org/officeDocument/2006/relationships/hyperlink" Target="https://www.instagram.com/p/DTopAT9jZHY/" TargetMode="External"/><Relationship Id="rId4" Type="http://schemas.openxmlformats.org/officeDocument/2006/relationships/hyperlink" Target="https://www.instagram.com/yourtiledesignguy/" TargetMode="External"/><Relationship Id="rId9" Type="http://schemas.openxmlformats.org/officeDocument/2006/relationships/hyperlink" Target="https://www.instagram.com/p/DSaGSPkDoCE/" TargetMode="External"/><Relationship Id="rId5" Type="http://schemas.openxmlformats.org/officeDocument/2006/relationships/hyperlink" Target="https://www.instagram.com/yourtiledesignguy/reel/DT34_evj2y8/" TargetMode="External"/><Relationship Id="rId6" Type="http://schemas.openxmlformats.org/officeDocument/2006/relationships/hyperlink" Target="https://www.instagram.com/dg_pro_remodeling_llc/" TargetMode="External"/><Relationship Id="rId7" Type="http://schemas.openxmlformats.org/officeDocument/2006/relationships/hyperlink" Target="https://www.instagram.com/p/DSICTEADnoN/" TargetMode="External"/><Relationship Id="rId8" Type="http://schemas.openxmlformats.org/officeDocument/2006/relationships/hyperlink" Target="https://www.instagram.com/p/DSZ_VFNDnO3/" TargetMode="External"/><Relationship Id="rId10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s/aGlnaGxpZ2h0OjE3ODQ3OTU1MTc5MTAzNzkx?igsh=d3hhMWdreTdsc2Y%3D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ClP6anpDGZqsVp31spgCZFUrjQgiC0Bh" TargetMode="External"/><Relationship Id="rId2" Type="http://schemas.openxmlformats.org/officeDocument/2006/relationships/hyperlink" Target="https://drive.google.com/open?id=15a2VwwouCSS2DtnoGiJha2RYKm9kllTI" TargetMode="External"/><Relationship Id="rId3" Type="http://schemas.openxmlformats.org/officeDocument/2006/relationships/hyperlink" Target="https://docs.google.com/document/d/1rCyARh0r_gsfV46LbWEC4axTe64MP_X8-Togs9ZvbH0/edit?tab=t.0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2"/>
  <cols>
    <col customWidth="1" min="2" max="3" width="26.75"/>
    <col customWidth="1" min="4" max="4" width="96.13"/>
    <col customWidth="1" min="5" max="6" width="14.88"/>
    <col customWidth="1" min="7" max="7" width="11.88"/>
    <col customWidth="1" min="8" max="8" width="20.88"/>
    <col customWidth="1" min="9" max="9" width="66.0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4"/>
    </row>
    <row r="2" outlineLevel="2">
      <c r="A2" s="5" t="s">
        <v>9</v>
      </c>
      <c r="B2" s="5"/>
      <c r="C2" s="6" t="s">
        <v>10</v>
      </c>
      <c r="D2" s="7"/>
      <c r="E2" s="8"/>
      <c r="F2" s="9"/>
      <c r="G2" s="8"/>
      <c r="H2" s="10"/>
      <c r="I2" s="11"/>
    </row>
    <row r="3" outlineLevel="2">
      <c r="A3" s="12"/>
      <c r="B3" s="12"/>
      <c r="D3" s="7"/>
      <c r="E3" s="8"/>
      <c r="F3" s="9"/>
      <c r="G3" s="8"/>
      <c r="H3" s="10"/>
      <c r="I3" s="13"/>
    </row>
    <row r="4" outlineLevel="2">
      <c r="A4" s="12"/>
      <c r="B4" s="14"/>
      <c r="D4" s="15"/>
      <c r="E4" s="8"/>
      <c r="F4" s="9"/>
      <c r="G4" s="8"/>
      <c r="H4" s="10"/>
      <c r="I4" s="13"/>
    </row>
    <row r="5" outlineLevel="2">
      <c r="A5" s="12"/>
      <c r="B5" s="14"/>
      <c r="D5" s="15"/>
      <c r="E5" s="8"/>
      <c r="F5" s="9"/>
      <c r="G5" s="8"/>
      <c r="H5" s="10"/>
      <c r="I5" s="13"/>
    </row>
    <row r="6" outlineLevel="2">
      <c r="A6" s="12"/>
      <c r="B6" s="14"/>
      <c r="C6" s="16" t="s">
        <v>11</v>
      </c>
      <c r="D6" s="17"/>
      <c r="E6" s="18"/>
      <c r="F6" s="19"/>
      <c r="G6" s="18"/>
      <c r="H6" s="20"/>
      <c r="I6" s="13"/>
    </row>
    <row r="7" outlineLevel="2">
      <c r="A7" s="12"/>
      <c r="B7" s="14"/>
      <c r="D7" s="17"/>
      <c r="E7" s="18"/>
      <c r="F7" s="19"/>
      <c r="G7" s="18"/>
      <c r="H7" s="20"/>
      <c r="I7" s="13"/>
    </row>
    <row r="8" outlineLevel="2">
      <c r="A8" s="12"/>
      <c r="B8" s="14"/>
      <c r="D8" s="17"/>
      <c r="E8" s="18"/>
      <c r="F8" s="19"/>
      <c r="G8" s="18"/>
      <c r="H8" s="20"/>
      <c r="I8" s="13"/>
    </row>
    <row r="9" outlineLevel="2">
      <c r="A9" s="12"/>
      <c r="B9" s="14"/>
      <c r="D9" s="17"/>
      <c r="E9" s="18"/>
      <c r="F9" s="19"/>
      <c r="G9" s="18"/>
      <c r="H9" s="20"/>
      <c r="I9" s="13"/>
    </row>
    <row r="10" outlineLevel="2">
      <c r="A10" s="12"/>
      <c r="B10" s="14"/>
      <c r="C10" s="21"/>
      <c r="D10" s="14"/>
      <c r="E10" s="14"/>
      <c r="F10" s="21"/>
      <c r="G10" s="22"/>
      <c r="H10" s="23"/>
      <c r="I10" s="13"/>
    </row>
    <row r="11" outlineLevel="2">
      <c r="A11" s="24" t="s">
        <v>12</v>
      </c>
      <c r="B11" s="25"/>
      <c r="C11" s="26"/>
      <c r="D11" s="25"/>
      <c r="E11" s="25"/>
      <c r="F11" s="26"/>
      <c r="G11" s="27"/>
      <c r="H11" s="28"/>
      <c r="I11" s="13"/>
    </row>
    <row r="12" outlineLevel="2">
      <c r="A12" s="29"/>
      <c r="B12" s="14"/>
      <c r="C12" s="6" t="s">
        <v>10</v>
      </c>
      <c r="D12" s="30" t="s">
        <v>13</v>
      </c>
      <c r="E12" s="31">
        <v>46055.0</v>
      </c>
      <c r="F12" s="32" t="s">
        <v>14</v>
      </c>
      <c r="G12" s="33" t="s">
        <v>15</v>
      </c>
      <c r="H12" s="10"/>
      <c r="I12" s="13"/>
    </row>
    <row r="13" outlineLevel="2">
      <c r="A13" s="29"/>
      <c r="B13" s="14"/>
      <c r="D13" s="34" t="s">
        <v>16</v>
      </c>
      <c r="E13" s="31">
        <v>46062.0</v>
      </c>
      <c r="F13" s="32" t="s">
        <v>17</v>
      </c>
      <c r="G13" s="33" t="s">
        <v>18</v>
      </c>
      <c r="H13" s="10"/>
      <c r="I13" s="13"/>
    </row>
    <row r="14" outlineLevel="2">
      <c r="A14" s="29"/>
      <c r="B14" s="14"/>
      <c r="D14" s="34" t="s">
        <v>19</v>
      </c>
      <c r="E14" s="31">
        <v>46069.0</v>
      </c>
      <c r="F14" s="32" t="s">
        <v>17</v>
      </c>
      <c r="G14" s="33" t="s">
        <v>15</v>
      </c>
      <c r="H14" s="10"/>
      <c r="I14" s="13"/>
    </row>
    <row r="15" outlineLevel="2">
      <c r="A15" s="29"/>
      <c r="B15" s="14"/>
      <c r="D15" s="35" t="s">
        <v>20</v>
      </c>
      <c r="E15" s="31">
        <v>46076.0</v>
      </c>
      <c r="F15" s="32" t="s">
        <v>14</v>
      </c>
      <c r="G15" s="33" t="s">
        <v>18</v>
      </c>
      <c r="H15" s="10"/>
      <c r="I15" s="13"/>
    </row>
    <row r="16" outlineLevel="2">
      <c r="A16" s="29"/>
      <c r="B16" s="14"/>
      <c r="C16" s="16" t="s">
        <v>11</v>
      </c>
      <c r="D16" s="17"/>
      <c r="E16" s="18"/>
      <c r="F16" s="19"/>
      <c r="G16" s="18"/>
      <c r="H16" s="20"/>
      <c r="I16" s="13"/>
    </row>
    <row r="17" outlineLevel="2">
      <c r="A17" s="29"/>
      <c r="B17" s="14"/>
      <c r="D17" s="17"/>
      <c r="E17" s="18"/>
      <c r="F17" s="19"/>
      <c r="G17" s="18"/>
      <c r="H17" s="20"/>
      <c r="I17" s="13"/>
    </row>
    <row r="18" outlineLevel="2">
      <c r="A18" s="36"/>
      <c r="B18" s="14"/>
      <c r="D18" s="17"/>
      <c r="E18" s="18"/>
      <c r="F18" s="19"/>
      <c r="G18" s="18"/>
      <c r="H18" s="20"/>
      <c r="I18" s="13"/>
    </row>
    <row r="19" outlineLevel="2">
      <c r="A19" s="29"/>
      <c r="B19" s="14"/>
      <c r="D19" s="17"/>
      <c r="E19" s="18"/>
      <c r="F19" s="19"/>
      <c r="G19" s="18"/>
      <c r="H19" s="20"/>
      <c r="I19" s="13"/>
    </row>
    <row r="20" outlineLevel="2">
      <c r="A20" s="37"/>
      <c r="B20" s="38"/>
      <c r="C20" s="39"/>
      <c r="D20" s="38"/>
      <c r="E20" s="40"/>
      <c r="F20" s="39"/>
      <c r="G20" s="41"/>
      <c r="H20" s="42"/>
      <c r="I20" s="13"/>
    </row>
    <row r="21" outlineLevel="2">
      <c r="A21" s="43" t="s">
        <v>21</v>
      </c>
      <c r="B21" s="14"/>
      <c r="C21" s="21"/>
      <c r="D21" s="25"/>
      <c r="E21" s="25"/>
      <c r="F21" s="26"/>
      <c r="G21" s="27"/>
      <c r="H21" s="28"/>
      <c r="I21" s="13"/>
    </row>
    <row r="22" outlineLevel="2">
      <c r="A22" s="36"/>
      <c r="B22" s="14"/>
      <c r="C22" s="6" t="s">
        <v>10</v>
      </c>
      <c r="D22" s="34" t="s">
        <v>22</v>
      </c>
      <c r="E22" s="31">
        <v>46083.0</v>
      </c>
      <c r="F22" s="32" t="s">
        <v>17</v>
      </c>
      <c r="G22" s="33" t="s">
        <v>23</v>
      </c>
      <c r="H22" s="10"/>
      <c r="I22" s="13"/>
    </row>
    <row r="23" outlineLevel="2">
      <c r="A23" s="29"/>
      <c r="B23" s="14"/>
      <c r="D23" s="34" t="s">
        <v>24</v>
      </c>
      <c r="E23" s="31">
        <v>46090.0</v>
      </c>
      <c r="F23" s="32" t="s">
        <v>14</v>
      </c>
      <c r="G23" s="33" t="s">
        <v>23</v>
      </c>
      <c r="H23" s="44" t="s">
        <v>25</v>
      </c>
      <c r="I23" s="13"/>
    </row>
    <row r="24" outlineLevel="2">
      <c r="A24" s="29"/>
      <c r="B24" s="5"/>
      <c r="D24" s="45" t="s">
        <v>26</v>
      </c>
      <c r="E24" s="31">
        <v>46097.0</v>
      </c>
      <c r="F24" s="32" t="s">
        <v>27</v>
      </c>
      <c r="G24" s="33" t="s">
        <v>23</v>
      </c>
      <c r="H24" s="10"/>
      <c r="I24" s="13"/>
    </row>
    <row r="25" outlineLevel="2">
      <c r="A25" s="29"/>
      <c r="B25" s="5"/>
      <c r="D25" s="45" t="s">
        <v>28</v>
      </c>
      <c r="E25" s="31">
        <v>46104.0</v>
      </c>
      <c r="F25" s="32" t="s">
        <v>14</v>
      </c>
      <c r="G25" s="33" t="s">
        <v>23</v>
      </c>
      <c r="H25" s="44" t="s">
        <v>25</v>
      </c>
      <c r="I25" s="13"/>
    </row>
    <row r="26" outlineLevel="2">
      <c r="A26" s="29"/>
      <c r="B26" s="5"/>
      <c r="D26" s="45" t="s">
        <v>29</v>
      </c>
      <c r="E26" s="31">
        <v>46111.0</v>
      </c>
      <c r="F26" s="32" t="s">
        <v>27</v>
      </c>
      <c r="G26" s="33" t="s">
        <v>23</v>
      </c>
      <c r="H26" s="10"/>
      <c r="I26" s="13"/>
    </row>
    <row r="27" outlineLevel="2">
      <c r="A27" s="29"/>
      <c r="B27" s="14"/>
      <c r="C27" s="16" t="s">
        <v>11</v>
      </c>
      <c r="D27" s="17"/>
      <c r="E27" s="18"/>
      <c r="F27" s="19"/>
      <c r="G27" s="18"/>
      <c r="H27" s="20"/>
      <c r="I27" s="13"/>
    </row>
    <row r="28" outlineLevel="2">
      <c r="A28" s="29"/>
      <c r="B28" s="14"/>
      <c r="D28" s="17"/>
      <c r="E28" s="18"/>
      <c r="F28" s="19"/>
      <c r="G28" s="18"/>
      <c r="H28" s="20"/>
      <c r="I28" s="13"/>
    </row>
    <row r="29" outlineLevel="2">
      <c r="A29" s="29"/>
      <c r="B29" s="14"/>
      <c r="D29" s="17"/>
      <c r="E29" s="18"/>
      <c r="F29" s="19"/>
      <c r="G29" s="18"/>
      <c r="H29" s="20"/>
      <c r="I29" s="13"/>
    </row>
    <row r="30" outlineLevel="2">
      <c r="A30" s="29"/>
      <c r="B30" s="12"/>
      <c r="D30" s="17"/>
      <c r="E30" s="18"/>
      <c r="F30" s="19"/>
      <c r="G30" s="18"/>
      <c r="H30" s="20"/>
      <c r="I30" s="13"/>
    </row>
    <row r="31" outlineLevel="2">
      <c r="A31" s="46"/>
      <c r="B31" s="38"/>
      <c r="C31" s="39"/>
      <c r="D31" s="38"/>
      <c r="E31" s="38"/>
      <c r="F31" s="39"/>
      <c r="G31" s="41"/>
      <c r="H31" s="47"/>
      <c r="I31" s="11"/>
    </row>
    <row r="32" hidden="1" outlineLevel="2">
      <c r="A32" s="48" t="s">
        <v>30</v>
      </c>
      <c r="B32" s="49"/>
      <c r="C32" s="50"/>
      <c r="D32" s="49"/>
      <c r="E32" s="49"/>
      <c r="F32" s="50"/>
      <c r="G32" s="51"/>
      <c r="H32" s="49"/>
      <c r="I32" s="52"/>
    </row>
    <row r="33" hidden="1" outlineLevel="2">
      <c r="A33" s="48"/>
      <c r="B33" s="53"/>
      <c r="C33" s="54" t="s">
        <v>31</v>
      </c>
      <c r="D33" s="55"/>
      <c r="E33" s="56" t="s">
        <v>32</v>
      </c>
      <c r="F33" s="57" t="s">
        <v>17</v>
      </c>
      <c r="G33" s="56"/>
      <c r="H33" s="58"/>
      <c r="I33" s="52"/>
    </row>
    <row r="34" ht="33.0" hidden="1" customHeight="1" outlineLevel="2">
      <c r="A34" s="48"/>
      <c r="B34" s="53"/>
      <c r="D34" s="59"/>
      <c r="E34" s="56" t="s">
        <v>33</v>
      </c>
      <c r="F34" s="57" t="s">
        <v>14</v>
      </c>
      <c r="G34" s="56"/>
      <c r="H34" s="58"/>
      <c r="I34" s="60"/>
    </row>
    <row r="35" hidden="1" outlineLevel="2">
      <c r="A35" s="53"/>
      <c r="B35" s="53"/>
      <c r="D35" s="61"/>
      <c r="E35" s="56" t="s">
        <v>34</v>
      </c>
      <c r="F35" s="57" t="s">
        <v>17</v>
      </c>
      <c r="G35" s="56"/>
      <c r="H35" s="58"/>
      <c r="I35" s="52"/>
    </row>
    <row r="36" hidden="1" outlineLevel="2">
      <c r="A36" s="49"/>
      <c r="B36" s="49"/>
      <c r="D36" s="61"/>
      <c r="E36" s="56" t="s">
        <v>35</v>
      </c>
      <c r="F36" s="57" t="s">
        <v>14</v>
      </c>
      <c r="G36" s="56"/>
      <c r="H36" s="58"/>
      <c r="I36" s="52"/>
    </row>
    <row r="37" hidden="1" outlineLevel="2">
      <c r="A37" s="48"/>
      <c r="B37" s="48"/>
      <c r="D37" s="62"/>
      <c r="E37" s="63" t="s">
        <v>36</v>
      </c>
      <c r="F37" s="64" t="s">
        <v>17</v>
      </c>
      <c r="G37" s="56"/>
      <c r="H37" s="58"/>
      <c r="I37" s="60"/>
    </row>
    <row r="38" hidden="1" outlineLevel="2">
      <c r="A38" s="48"/>
      <c r="B38" s="48"/>
      <c r="C38" s="65" t="s">
        <v>37</v>
      </c>
      <c r="D38" s="66"/>
      <c r="E38" s="67" t="s">
        <v>32</v>
      </c>
      <c r="F38" s="68" t="s">
        <v>17</v>
      </c>
      <c r="G38" s="69"/>
      <c r="H38" s="70"/>
      <c r="I38" s="52"/>
    </row>
    <row r="39" hidden="1" outlineLevel="2">
      <c r="A39" s="48"/>
      <c r="B39" s="48"/>
      <c r="D39" s="71"/>
      <c r="E39" s="72" t="s">
        <v>33</v>
      </c>
      <c r="F39" s="73" t="s">
        <v>14</v>
      </c>
      <c r="G39" s="69"/>
      <c r="H39" s="70"/>
      <c r="I39" s="52"/>
    </row>
    <row r="40" hidden="1" outlineLevel="2">
      <c r="A40" s="49"/>
      <c r="B40" s="49"/>
      <c r="D40" s="70"/>
      <c r="E40" s="74" t="s">
        <v>34</v>
      </c>
      <c r="F40" s="74" t="s">
        <v>17</v>
      </c>
      <c r="G40" s="69"/>
      <c r="H40" s="70"/>
      <c r="I40" s="52"/>
    </row>
    <row r="41" hidden="1" outlineLevel="2">
      <c r="A41" s="49"/>
      <c r="B41" s="49"/>
      <c r="D41" s="70"/>
      <c r="E41" s="74" t="s">
        <v>35</v>
      </c>
      <c r="F41" s="74" t="s">
        <v>14</v>
      </c>
      <c r="G41" s="69"/>
      <c r="H41" s="70"/>
      <c r="I41" s="75"/>
    </row>
    <row r="42" hidden="1" outlineLevel="2">
      <c r="A42" s="49"/>
      <c r="B42" s="49"/>
      <c r="D42" s="76"/>
      <c r="E42" s="74" t="s">
        <v>36</v>
      </c>
      <c r="F42" s="74" t="s">
        <v>17</v>
      </c>
      <c r="G42" s="69"/>
      <c r="H42" s="70"/>
      <c r="I42" s="75"/>
    </row>
    <row r="43" hidden="1" outlineLevel="2">
      <c r="A43" s="49"/>
      <c r="B43" s="49"/>
      <c r="C43" s="77" t="s">
        <v>38</v>
      </c>
      <c r="D43" s="78"/>
      <c r="E43" s="79"/>
      <c r="F43" s="80"/>
      <c r="G43" s="81"/>
      <c r="H43" s="82"/>
      <c r="I43" s="52"/>
    </row>
    <row r="44" hidden="1" outlineLevel="2">
      <c r="A44" s="48"/>
      <c r="B44" s="48"/>
      <c r="D44" s="82"/>
      <c r="E44" s="79"/>
      <c r="F44" s="80"/>
      <c r="G44" s="81"/>
      <c r="H44" s="82"/>
      <c r="I44" s="52"/>
    </row>
    <row r="45" hidden="1" outlineLevel="2">
      <c r="A45" s="48"/>
      <c r="B45" s="48"/>
      <c r="D45" s="83"/>
      <c r="E45" s="79"/>
      <c r="F45" s="80"/>
      <c r="G45" s="81"/>
      <c r="H45" s="82"/>
      <c r="I45" s="52"/>
    </row>
    <row r="46" hidden="1" outlineLevel="2">
      <c r="A46" s="49"/>
      <c r="B46" s="49"/>
      <c r="D46" s="83"/>
      <c r="E46" s="79"/>
      <c r="F46" s="80"/>
      <c r="G46" s="81"/>
      <c r="H46" s="82"/>
      <c r="I46" s="52"/>
    </row>
    <row r="47" hidden="1" outlineLevel="2">
      <c r="A47" s="49"/>
      <c r="B47" s="49"/>
      <c r="D47" s="83"/>
      <c r="E47" s="84"/>
      <c r="F47" s="85"/>
      <c r="G47" s="81"/>
      <c r="H47" s="82"/>
      <c r="I47" s="52"/>
    </row>
    <row r="48" hidden="1" outlineLevel="1" collapsed="1">
      <c r="A48" s="86"/>
      <c r="B48" s="87"/>
      <c r="C48" s="88"/>
      <c r="D48" s="89"/>
      <c r="E48" s="89"/>
      <c r="F48" s="90"/>
      <c r="G48" s="91"/>
      <c r="H48" s="87"/>
      <c r="I48" s="52"/>
    </row>
    <row r="49" hidden="1" outlineLevel="2">
      <c r="A49" s="92" t="s">
        <v>39</v>
      </c>
      <c r="B49" s="92"/>
      <c r="C49" s="93"/>
      <c r="D49" s="92"/>
      <c r="E49" s="92"/>
      <c r="F49" s="93"/>
      <c r="G49" s="94"/>
      <c r="H49" s="92"/>
      <c r="I49" s="52"/>
    </row>
    <row r="50" hidden="1" outlineLevel="2">
      <c r="A50" s="95"/>
      <c r="B50" s="92"/>
      <c r="C50" s="54" t="s">
        <v>31</v>
      </c>
      <c r="D50" s="55" t="s">
        <v>40</v>
      </c>
      <c r="E50" s="56" t="s">
        <v>41</v>
      </c>
      <c r="F50" s="57" t="s">
        <v>14</v>
      </c>
      <c r="G50" s="56" t="s">
        <v>42</v>
      </c>
      <c r="H50" s="58" t="s">
        <v>43</v>
      </c>
      <c r="I50" s="75" t="s">
        <v>44</v>
      </c>
    </row>
    <row r="51" hidden="1" outlineLevel="2">
      <c r="A51" s="92"/>
      <c r="B51" s="53"/>
      <c r="D51" s="59" t="s">
        <v>45</v>
      </c>
      <c r="E51" s="56" t="s">
        <v>46</v>
      </c>
      <c r="F51" s="57" t="s">
        <v>17</v>
      </c>
      <c r="G51" s="56" t="s">
        <v>42</v>
      </c>
      <c r="H51" s="58" t="s">
        <v>43</v>
      </c>
      <c r="I51" s="75"/>
    </row>
    <row r="52" hidden="1" outlineLevel="2">
      <c r="A52" s="92"/>
      <c r="B52" s="53"/>
      <c r="D52" s="96" t="s">
        <v>47</v>
      </c>
      <c r="E52" s="56" t="s">
        <v>48</v>
      </c>
      <c r="F52" s="57" t="s">
        <v>14</v>
      </c>
      <c r="G52" s="56" t="s">
        <v>49</v>
      </c>
      <c r="H52" s="58" t="s">
        <v>43</v>
      </c>
      <c r="I52" s="52"/>
    </row>
    <row r="53" hidden="1" outlineLevel="2">
      <c r="A53" s="92"/>
      <c r="B53" s="53"/>
      <c r="D53" s="61" t="s">
        <v>50</v>
      </c>
      <c r="E53" s="56" t="s">
        <v>48</v>
      </c>
      <c r="F53" s="57" t="s">
        <v>14</v>
      </c>
      <c r="G53" s="56" t="s">
        <v>49</v>
      </c>
      <c r="H53" s="58"/>
      <c r="I53" s="52"/>
    </row>
    <row r="54" hidden="1" outlineLevel="2">
      <c r="A54" s="97"/>
      <c r="B54" s="53"/>
      <c r="D54" s="96" t="s">
        <v>47</v>
      </c>
      <c r="E54" s="56" t="s">
        <v>51</v>
      </c>
      <c r="F54" s="57" t="s">
        <v>17</v>
      </c>
      <c r="G54" s="56" t="s">
        <v>42</v>
      </c>
      <c r="H54" s="58" t="s">
        <v>43</v>
      </c>
      <c r="I54" s="75"/>
    </row>
    <row r="55" hidden="1" outlineLevel="2">
      <c r="A55" s="97"/>
      <c r="B55" s="53"/>
      <c r="D55" s="61" t="s">
        <v>52</v>
      </c>
      <c r="E55" s="56" t="s">
        <v>51</v>
      </c>
      <c r="F55" s="57" t="s">
        <v>17</v>
      </c>
      <c r="G55" s="56" t="s">
        <v>42</v>
      </c>
      <c r="H55" s="58"/>
      <c r="I55" s="75"/>
    </row>
    <row r="56" hidden="1" outlineLevel="2">
      <c r="A56" s="97"/>
      <c r="B56" s="53"/>
      <c r="C56" s="65" t="s">
        <v>37</v>
      </c>
      <c r="D56" s="66" t="s">
        <v>53</v>
      </c>
      <c r="E56" s="67" t="s">
        <v>41</v>
      </c>
      <c r="F56" s="68" t="s">
        <v>14</v>
      </c>
      <c r="G56" s="69"/>
      <c r="H56" s="70" t="s">
        <v>43</v>
      </c>
      <c r="I56" s="75"/>
    </row>
    <row r="57" hidden="1" outlineLevel="2">
      <c r="A57" s="97"/>
      <c r="B57" s="53"/>
      <c r="D57" s="71" t="s">
        <v>54</v>
      </c>
      <c r="E57" s="72" t="s">
        <v>46</v>
      </c>
      <c r="F57" s="73" t="s">
        <v>17</v>
      </c>
      <c r="G57" s="69"/>
      <c r="H57" s="70" t="s">
        <v>43</v>
      </c>
      <c r="I57" s="52"/>
    </row>
    <row r="58" hidden="1" outlineLevel="2">
      <c r="A58" s="97"/>
      <c r="B58" s="53"/>
      <c r="D58" s="70" t="s">
        <v>55</v>
      </c>
      <c r="E58" s="74" t="s">
        <v>48</v>
      </c>
      <c r="F58" s="74" t="s">
        <v>14</v>
      </c>
      <c r="G58" s="69"/>
      <c r="H58" s="70" t="s">
        <v>43</v>
      </c>
      <c r="I58" s="52"/>
    </row>
    <row r="59" hidden="1" outlineLevel="2">
      <c r="A59" s="97"/>
      <c r="B59" s="53"/>
      <c r="D59" s="70" t="s">
        <v>56</v>
      </c>
      <c r="E59" s="74" t="s">
        <v>51</v>
      </c>
      <c r="F59" s="74" t="s">
        <v>17</v>
      </c>
      <c r="G59" s="69"/>
      <c r="H59" s="70" t="s">
        <v>43</v>
      </c>
      <c r="I59" s="52"/>
    </row>
    <row r="60" hidden="1" outlineLevel="2">
      <c r="A60" s="97"/>
      <c r="B60" s="53"/>
      <c r="C60" s="77" t="s">
        <v>38</v>
      </c>
      <c r="D60" s="78"/>
      <c r="E60" s="79"/>
      <c r="F60" s="80"/>
      <c r="G60" s="81"/>
      <c r="H60" s="82"/>
      <c r="I60" s="52"/>
    </row>
    <row r="61" hidden="1" outlineLevel="2">
      <c r="A61" s="97"/>
      <c r="B61" s="53"/>
      <c r="D61" s="82"/>
      <c r="E61" s="79"/>
      <c r="F61" s="80"/>
      <c r="G61" s="81"/>
      <c r="H61" s="82"/>
      <c r="I61" s="52"/>
    </row>
    <row r="62" hidden="1" outlineLevel="2">
      <c r="A62" s="97"/>
      <c r="B62" s="53"/>
      <c r="D62" s="83"/>
      <c r="E62" s="79"/>
      <c r="F62" s="80"/>
      <c r="G62" s="81"/>
      <c r="H62" s="82"/>
      <c r="I62" s="52"/>
    </row>
    <row r="63" ht="16.5" hidden="1" customHeight="1" outlineLevel="2">
      <c r="A63" s="97"/>
      <c r="B63" s="53"/>
      <c r="D63" s="83"/>
      <c r="E63" s="79"/>
      <c r="F63" s="80"/>
      <c r="G63" s="81"/>
      <c r="H63" s="82"/>
      <c r="I63" s="52"/>
    </row>
    <row r="64" hidden="1" outlineLevel="2">
      <c r="A64" s="97"/>
      <c r="B64" s="53"/>
      <c r="D64" s="83"/>
      <c r="E64" s="84"/>
      <c r="F64" s="85"/>
      <c r="G64" s="81"/>
      <c r="H64" s="82"/>
      <c r="I64" s="52"/>
    </row>
    <row r="65" hidden="1" outlineLevel="1">
      <c r="A65" s="86"/>
      <c r="B65" s="87"/>
      <c r="C65" s="88"/>
      <c r="D65" s="89"/>
      <c r="E65" s="89"/>
      <c r="F65" s="90"/>
      <c r="G65" s="91"/>
      <c r="H65" s="87"/>
      <c r="I65" s="52"/>
    </row>
    <row r="66" hidden="1" outlineLevel="1">
      <c r="A66" s="92" t="s">
        <v>57</v>
      </c>
      <c r="B66" s="92"/>
      <c r="C66" s="93"/>
      <c r="D66" s="92"/>
      <c r="E66" s="92"/>
      <c r="F66" s="93"/>
      <c r="G66" s="94"/>
      <c r="H66" s="92"/>
      <c r="I66" s="52"/>
    </row>
    <row r="67" ht="19.5" hidden="1" customHeight="1" outlineLevel="1">
      <c r="A67" s="95"/>
      <c r="B67" s="92"/>
      <c r="C67" s="54" t="s">
        <v>10</v>
      </c>
      <c r="D67" s="55" t="s">
        <v>58</v>
      </c>
      <c r="E67" s="56" t="s">
        <v>59</v>
      </c>
      <c r="F67" s="57" t="s">
        <v>14</v>
      </c>
      <c r="G67" s="56"/>
      <c r="H67" s="58"/>
      <c r="I67" s="52"/>
    </row>
    <row r="68" hidden="1" outlineLevel="1">
      <c r="A68" s="97"/>
      <c r="B68" s="53"/>
      <c r="D68" s="59" t="s">
        <v>60</v>
      </c>
      <c r="E68" s="56" t="s">
        <v>61</v>
      </c>
      <c r="F68" s="57" t="s">
        <v>17</v>
      </c>
      <c r="G68" s="56"/>
      <c r="H68" s="58"/>
      <c r="I68" s="52"/>
    </row>
    <row r="69" hidden="1" outlineLevel="1">
      <c r="A69" s="97"/>
      <c r="B69" s="53"/>
      <c r="D69" s="98" t="s">
        <v>62</v>
      </c>
      <c r="E69" s="56" t="s">
        <v>63</v>
      </c>
      <c r="F69" s="57" t="s">
        <v>14</v>
      </c>
      <c r="G69" s="56"/>
      <c r="H69" s="58"/>
      <c r="I69" s="52"/>
    </row>
    <row r="70" hidden="1" outlineLevel="1">
      <c r="A70" s="97"/>
      <c r="B70" s="53"/>
      <c r="D70" s="61" t="s">
        <v>58</v>
      </c>
      <c r="E70" s="56" t="s">
        <v>64</v>
      </c>
      <c r="F70" s="57" t="s">
        <v>17</v>
      </c>
      <c r="G70" s="56"/>
      <c r="H70" s="58"/>
      <c r="I70" s="52"/>
    </row>
    <row r="71" hidden="1" outlineLevel="1">
      <c r="A71" s="97"/>
      <c r="B71" s="53"/>
      <c r="D71" s="99" t="s">
        <v>65</v>
      </c>
      <c r="E71" s="63" t="s">
        <v>66</v>
      </c>
      <c r="F71" s="64" t="s">
        <v>14</v>
      </c>
      <c r="G71" s="56"/>
      <c r="H71" s="58"/>
      <c r="I71" s="60"/>
    </row>
    <row r="72" hidden="1" outlineLevel="1">
      <c r="A72" s="97"/>
      <c r="B72" s="53"/>
      <c r="C72" s="65" t="s">
        <v>37</v>
      </c>
      <c r="D72" s="100" t="s">
        <v>67</v>
      </c>
      <c r="E72" s="67"/>
      <c r="F72" s="68"/>
      <c r="G72" s="69"/>
      <c r="H72" s="70"/>
      <c r="I72" s="52"/>
    </row>
    <row r="73" hidden="1" outlineLevel="1">
      <c r="A73" s="97"/>
      <c r="B73" s="53"/>
      <c r="D73" s="72"/>
      <c r="E73" s="72"/>
      <c r="F73" s="73"/>
      <c r="G73" s="69"/>
      <c r="H73" s="70"/>
      <c r="I73" s="52"/>
    </row>
    <row r="74" hidden="1" outlineLevel="1">
      <c r="A74" s="97"/>
      <c r="B74" s="53"/>
      <c r="D74" s="70"/>
      <c r="E74" s="74"/>
      <c r="F74" s="74"/>
      <c r="G74" s="69"/>
      <c r="H74" s="70"/>
      <c r="I74" s="52"/>
    </row>
    <row r="75" hidden="1" outlineLevel="1">
      <c r="A75" s="86"/>
      <c r="B75" s="87"/>
      <c r="C75" s="88"/>
      <c r="D75" s="89"/>
      <c r="E75" s="89"/>
      <c r="F75" s="90"/>
      <c r="G75" s="91"/>
      <c r="H75" s="87"/>
      <c r="I75" s="52"/>
    </row>
    <row r="76" hidden="1" outlineLevel="1">
      <c r="A76" s="92" t="s">
        <v>68</v>
      </c>
      <c r="B76" s="92"/>
      <c r="C76" s="93"/>
      <c r="D76" s="92"/>
      <c r="E76" s="92"/>
      <c r="F76" s="93"/>
      <c r="G76" s="94"/>
      <c r="H76" s="92"/>
      <c r="I76" s="52"/>
    </row>
    <row r="77" ht="18.75" hidden="1" customHeight="1" outlineLevel="1">
      <c r="A77" s="97"/>
      <c r="B77" s="53"/>
      <c r="C77" s="54"/>
      <c r="D77" s="55" t="s">
        <v>69</v>
      </c>
      <c r="E77" s="56" t="s">
        <v>70</v>
      </c>
      <c r="F77" s="57" t="s">
        <v>17</v>
      </c>
      <c r="G77" s="56"/>
      <c r="H77" s="58"/>
      <c r="I77" s="75"/>
    </row>
    <row r="78" ht="42.0" hidden="1" customHeight="1" outlineLevel="1">
      <c r="A78" s="97"/>
      <c r="B78" s="53"/>
      <c r="D78" s="101" t="s">
        <v>71</v>
      </c>
      <c r="E78" s="56" t="s">
        <v>72</v>
      </c>
      <c r="F78" s="57" t="s">
        <v>14</v>
      </c>
      <c r="G78" s="56" t="s">
        <v>42</v>
      </c>
      <c r="H78" s="58" t="s">
        <v>73</v>
      </c>
      <c r="I78" s="102"/>
    </row>
    <row r="79" hidden="1" outlineLevel="1">
      <c r="A79" s="97"/>
      <c r="B79" s="53"/>
      <c r="D79" s="61" t="s">
        <v>74</v>
      </c>
      <c r="E79" s="56" t="s">
        <v>75</v>
      </c>
      <c r="F79" s="57" t="s">
        <v>17</v>
      </c>
      <c r="G79" s="56"/>
      <c r="H79" s="58"/>
      <c r="I79" s="52"/>
    </row>
    <row r="80" hidden="1" outlineLevel="1">
      <c r="A80" s="97"/>
      <c r="B80" s="53"/>
      <c r="D80" s="62" t="s">
        <v>76</v>
      </c>
      <c r="E80" s="63" t="s">
        <v>77</v>
      </c>
      <c r="F80" s="64" t="s">
        <v>14</v>
      </c>
      <c r="G80" s="56"/>
      <c r="H80" s="58"/>
      <c r="I80" s="52"/>
    </row>
    <row r="81" hidden="1" outlineLevel="1">
      <c r="A81" s="97"/>
      <c r="B81" s="53"/>
      <c r="C81" s="65" t="s">
        <v>11</v>
      </c>
      <c r="D81" s="66"/>
      <c r="E81" s="67"/>
      <c r="F81" s="68"/>
      <c r="G81" s="69"/>
      <c r="H81" s="70"/>
      <c r="I81" s="52"/>
    </row>
    <row r="82" hidden="1" outlineLevel="1">
      <c r="A82" s="97"/>
      <c r="B82" s="53"/>
      <c r="D82" s="72"/>
      <c r="E82" s="72"/>
      <c r="F82" s="73"/>
      <c r="G82" s="69"/>
      <c r="H82" s="70"/>
      <c r="I82" s="52"/>
    </row>
    <row r="83" hidden="1" outlineLevel="1">
      <c r="A83" s="97"/>
      <c r="B83" s="53"/>
      <c r="D83" s="70"/>
      <c r="E83" s="74"/>
      <c r="F83" s="74"/>
      <c r="G83" s="69"/>
      <c r="H83" s="70"/>
      <c r="I83" s="52"/>
    </row>
    <row r="84" hidden="1" outlineLevel="1">
      <c r="A84" s="97"/>
      <c r="B84" s="53"/>
      <c r="C84" s="77" t="s">
        <v>78</v>
      </c>
      <c r="D84" s="78"/>
      <c r="E84" s="79" t="s">
        <v>79</v>
      </c>
      <c r="F84" s="80"/>
      <c r="G84" s="81"/>
      <c r="H84" s="82"/>
      <c r="I84" s="52"/>
    </row>
    <row r="85" hidden="1" outlineLevel="1">
      <c r="A85" s="97"/>
      <c r="B85" s="53"/>
      <c r="D85" s="82"/>
      <c r="E85" s="79" t="s">
        <v>70</v>
      </c>
      <c r="F85" s="80"/>
      <c r="G85" s="81"/>
      <c r="H85" s="82"/>
      <c r="I85" s="52"/>
    </row>
    <row r="86" hidden="1" outlineLevel="1">
      <c r="A86" s="97"/>
      <c r="B86" s="53"/>
      <c r="D86" s="82"/>
      <c r="E86" s="79" t="s">
        <v>72</v>
      </c>
      <c r="F86" s="80"/>
      <c r="G86" s="81"/>
      <c r="H86" s="82"/>
      <c r="I86" s="52"/>
    </row>
    <row r="87" hidden="1" outlineLevel="1">
      <c r="A87" s="97"/>
      <c r="B87" s="53"/>
      <c r="D87" s="82"/>
      <c r="E87" s="79" t="s">
        <v>75</v>
      </c>
      <c r="F87" s="80"/>
      <c r="G87" s="81"/>
      <c r="H87" s="82"/>
      <c r="I87" s="52"/>
    </row>
    <row r="88" hidden="1" outlineLevel="1">
      <c r="A88" s="97"/>
      <c r="B88" s="53"/>
      <c r="D88" s="82"/>
      <c r="E88" s="79" t="s">
        <v>77</v>
      </c>
      <c r="F88" s="80"/>
      <c r="G88" s="81"/>
      <c r="H88" s="82"/>
      <c r="I88" s="52"/>
    </row>
    <row r="89" hidden="1" outlineLevel="1">
      <c r="A89" s="97"/>
      <c r="B89" s="53"/>
      <c r="C89" s="103"/>
      <c r="D89" s="53"/>
      <c r="E89" s="53"/>
      <c r="F89" s="103"/>
      <c r="G89" s="104"/>
      <c r="H89" s="53"/>
      <c r="I89" s="52"/>
    </row>
    <row r="90" hidden="1" outlineLevel="1">
      <c r="A90" s="97"/>
      <c r="B90" s="53"/>
      <c r="C90" s="103"/>
      <c r="D90" s="53"/>
      <c r="E90" s="53"/>
      <c r="F90" s="103"/>
      <c r="G90" s="104"/>
      <c r="H90" s="53"/>
      <c r="I90" s="52"/>
    </row>
    <row r="91" hidden="1" outlineLevel="1">
      <c r="A91" s="97"/>
      <c r="B91" s="53"/>
      <c r="C91" s="103"/>
      <c r="D91" s="53"/>
      <c r="E91" s="53"/>
      <c r="F91" s="103"/>
      <c r="G91" s="104"/>
      <c r="H91" s="53"/>
      <c r="I91" s="52"/>
    </row>
    <row r="92" outlineLevel="2">
      <c r="A92" s="105" t="s">
        <v>80</v>
      </c>
      <c r="B92" s="14"/>
      <c r="C92" s="21"/>
      <c r="D92" s="25"/>
      <c r="E92" s="25"/>
      <c r="F92" s="26"/>
      <c r="G92" s="27"/>
      <c r="H92" s="28"/>
      <c r="I92" s="13"/>
    </row>
    <row r="93" outlineLevel="2">
      <c r="A93" s="29"/>
      <c r="B93" s="14"/>
      <c r="C93" s="106" t="s">
        <v>10</v>
      </c>
      <c r="D93" s="7"/>
      <c r="E93" s="31">
        <v>46118.0</v>
      </c>
      <c r="F93" s="107" t="s">
        <v>14</v>
      </c>
      <c r="G93" s="33" t="s">
        <v>23</v>
      </c>
      <c r="H93" s="10"/>
      <c r="I93" s="13"/>
    </row>
    <row r="94" ht="14.25" customHeight="1" outlineLevel="2">
      <c r="A94" s="29"/>
      <c r="B94" s="5"/>
      <c r="D94" s="15"/>
      <c r="E94" s="31">
        <v>46125.0</v>
      </c>
      <c r="F94" s="107" t="s">
        <v>17</v>
      </c>
      <c r="G94" s="33" t="s">
        <v>15</v>
      </c>
      <c r="H94" s="10"/>
      <c r="I94" s="13"/>
    </row>
    <row r="95" outlineLevel="2">
      <c r="A95" s="29"/>
      <c r="B95" s="5"/>
      <c r="D95" s="15"/>
      <c r="E95" s="31">
        <v>46132.0</v>
      </c>
      <c r="F95" s="107" t="s">
        <v>14</v>
      </c>
      <c r="G95" s="33" t="s">
        <v>81</v>
      </c>
      <c r="H95" s="10"/>
      <c r="I95" s="13"/>
    </row>
    <row r="96" outlineLevel="2">
      <c r="A96" s="29"/>
      <c r="B96" s="5"/>
      <c r="D96" s="15"/>
      <c r="E96" s="31">
        <v>46139.0</v>
      </c>
      <c r="F96" s="107" t="s">
        <v>17</v>
      </c>
      <c r="G96" s="33" t="s">
        <v>18</v>
      </c>
      <c r="H96" s="10"/>
      <c r="I96" s="13"/>
    </row>
    <row r="97" outlineLevel="2">
      <c r="A97" s="29"/>
      <c r="B97" s="14"/>
      <c r="C97" s="16" t="s">
        <v>11</v>
      </c>
      <c r="D97" s="17"/>
      <c r="E97" s="18"/>
      <c r="F97" s="19"/>
      <c r="G97" s="18"/>
      <c r="H97" s="20"/>
      <c r="I97" s="13"/>
    </row>
    <row r="98" outlineLevel="2">
      <c r="A98" s="29"/>
      <c r="B98" s="14"/>
      <c r="D98" s="17"/>
      <c r="E98" s="18"/>
      <c r="F98" s="19"/>
      <c r="G98" s="18"/>
      <c r="H98" s="20"/>
      <c r="I98" s="13"/>
    </row>
    <row r="99" outlineLevel="2">
      <c r="A99" s="29"/>
      <c r="B99" s="14"/>
      <c r="D99" s="17"/>
      <c r="E99" s="18"/>
      <c r="F99" s="19"/>
      <c r="G99" s="18"/>
      <c r="H99" s="20"/>
      <c r="I99" s="13"/>
    </row>
    <row r="100" outlineLevel="2">
      <c r="A100" s="29"/>
      <c r="B100" s="12"/>
      <c r="D100" s="17"/>
      <c r="E100" s="18"/>
      <c r="F100" s="19"/>
      <c r="G100" s="18"/>
      <c r="H100" s="20"/>
      <c r="I100" s="13"/>
    </row>
    <row r="101" outlineLevel="2">
      <c r="A101" s="46"/>
      <c r="B101" s="38"/>
      <c r="C101" s="39"/>
      <c r="D101" s="38"/>
      <c r="E101" s="38"/>
      <c r="F101" s="39"/>
      <c r="G101" s="41"/>
      <c r="H101" s="47"/>
      <c r="I101" s="11"/>
    </row>
    <row r="102" hidden="1" outlineLevel="1">
      <c r="A102" s="97"/>
      <c r="B102" s="53"/>
      <c r="C102" s="77" t="s">
        <v>78</v>
      </c>
      <c r="D102" s="78"/>
      <c r="E102" s="79" t="s">
        <v>82</v>
      </c>
      <c r="F102" s="80"/>
      <c r="G102" s="81"/>
      <c r="H102" s="82"/>
      <c r="I102" s="52"/>
    </row>
    <row r="103" hidden="1" outlineLevel="1">
      <c r="A103" s="97"/>
      <c r="B103" s="53"/>
      <c r="D103" s="78"/>
      <c r="E103" s="79" t="s">
        <v>83</v>
      </c>
      <c r="F103" s="80"/>
      <c r="G103" s="81"/>
      <c r="H103" s="82"/>
      <c r="I103" s="52"/>
    </row>
    <row r="104" hidden="1" outlineLevel="1">
      <c r="A104" s="97"/>
      <c r="B104" s="53"/>
      <c r="D104" s="78"/>
      <c r="E104" s="79" t="s">
        <v>84</v>
      </c>
      <c r="F104" s="80"/>
      <c r="G104" s="81"/>
      <c r="H104" s="82"/>
      <c r="I104" s="52"/>
    </row>
    <row r="105" hidden="1" outlineLevel="1">
      <c r="A105" s="97"/>
      <c r="B105" s="53"/>
      <c r="D105" s="83"/>
      <c r="E105" s="79" t="s">
        <v>85</v>
      </c>
      <c r="F105" s="80"/>
      <c r="G105" s="81"/>
      <c r="H105" s="82"/>
      <c r="I105" s="52"/>
    </row>
    <row r="106" hidden="1" outlineLevel="1">
      <c r="A106" s="108"/>
      <c r="B106" s="108"/>
      <c r="C106" s="109"/>
      <c r="D106" s="83"/>
      <c r="E106" s="79" t="s">
        <v>86</v>
      </c>
      <c r="F106" s="80"/>
      <c r="G106" s="81"/>
      <c r="H106" s="82"/>
      <c r="I106" s="52"/>
    </row>
    <row r="107" hidden="1" outlineLevel="1">
      <c r="A107" s="86"/>
      <c r="B107" s="87"/>
      <c r="C107" s="88"/>
      <c r="D107" s="89"/>
      <c r="E107" s="89"/>
      <c r="F107" s="90"/>
      <c r="G107" s="91"/>
      <c r="H107" s="87"/>
      <c r="I107" s="52"/>
    </row>
    <row r="108" hidden="1" outlineLevel="1">
      <c r="A108" s="92" t="s">
        <v>87</v>
      </c>
      <c r="B108" s="92"/>
      <c r="C108" s="93"/>
      <c r="D108" s="92"/>
      <c r="E108" s="92"/>
      <c r="F108" s="93"/>
      <c r="G108" s="94"/>
      <c r="H108" s="92"/>
      <c r="I108" s="52"/>
    </row>
    <row r="109" hidden="1" outlineLevel="1">
      <c r="A109" s="95"/>
      <c r="B109" s="92"/>
      <c r="C109" s="54" t="s">
        <v>10</v>
      </c>
      <c r="D109" s="55" t="s">
        <v>88</v>
      </c>
      <c r="E109" s="56" t="s">
        <v>86</v>
      </c>
      <c r="F109" s="57"/>
      <c r="G109" s="56"/>
      <c r="H109" s="58" t="s">
        <v>89</v>
      </c>
      <c r="I109" s="52"/>
    </row>
    <row r="110" ht="14.25" hidden="1" customHeight="1" outlineLevel="1">
      <c r="A110" s="97"/>
      <c r="B110" s="53"/>
      <c r="D110" s="110" t="s">
        <v>90</v>
      </c>
      <c r="E110" s="56" t="s">
        <v>91</v>
      </c>
      <c r="F110" s="57"/>
      <c r="G110" s="56"/>
      <c r="H110" s="58" t="s">
        <v>89</v>
      </c>
      <c r="I110" s="60"/>
    </row>
    <row r="111" hidden="1" outlineLevel="1">
      <c r="A111" s="97"/>
      <c r="B111" s="53"/>
      <c r="D111" s="111" t="s">
        <v>92</v>
      </c>
      <c r="E111" s="56" t="s">
        <v>93</v>
      </c>
      <c r="F111" s="57"/>
      <c r="G111" s="56"/>
      <c r="H111" s="58" t="s">
        <v>89</v>
      </c>
      <c r="I111" s="52"/>
    </row>
    <row r="112" hidden="1" outlineLevel="1">
      <c r="A112" s="97"/>
      <c r="B112" s="53"/>
      <c r="D112" s="111" t="s">
        <v>94</v>
      </c>
      <c r="E112" s="56" t="s">
        <v>95</v>
      </c>
      <c r="F112" s="57"/>
      <c r="G112" s="56"/>
      <c r="H112" s="58"/>
      <c r="I112" s="75"/>
    </row>
    <row r="113" hidden="1" outlineLevel="1">
      <c r="A113" s="97"/>
      <c r="B113" s="53"/>
      <c r="D113" s="112" t="s">
        <v>96</v>
      </c>
      <c r="E113" s="63" t="s">
        <v>97</v>
      </c>
      <c r="F113" s="64"/>
      <c r="G113" s="56"/>
      <c r="H113" s="58"/>
      <c r="I113" s="75"/>
    </row>
    <row r="114" hidden="1" outlineLevel="1">
      <c r="A114" s="97"/>
      <c r="B114" s="53"/>
      <c r="C114" s="113" t="s">
        <v>98</v>
      </c>
      <c r="D114" s="66"/>
      <c r="E114" s="67" t="s">
        <v>86</v>
      </c>
      <c r="F114" s="68"/>
      <c r="G114" s="69"/>
      <c r="H114" s="70"/>
      <c r="I114" s="52"/>
    </row>
    <row r="115" hidden="1" outlineLevel="1">
      <c r="A115" s="97"/>
      <c r="B115" s="53"/>
      <c r="D115" s="71"/>
      <c r="E115" s="72" t="s">
        <v>91</v>
      </c>
      <c r="F115" s="73"/>
      <c r="G115" s="69"/>
      <c r="H115" s="70"/>
      <c r="I115" s="52"/>
    </row>
    <row r="116" hidden="1" outlineLevel="1">
      <c r="A116" s="97"/>
      <c r="B116" s="53"/>
      <c r="D116" s="70"/>
      <c r="E116" s="74" t="s">
        <v>99</v>
      </c>
      <c r="F116" s="74"/>
      <c r="G116" s="69"/>
      <c r="H116" s="70"/>
      <c r="I116" s="52"/>
    </row>
    <row r="117" hidden="1" outlineLevel="1">
      <c r="A117" s="97"/>
      <c r="B117" s="53"/>
      <c r="C117" s="77" t="s">
        <v>78</v>
      </c>
      <c r="D117" s="78"/>
      <c r="E117" s="79" t="s">
        <v>91</v>
      </c>
      <c r="F117" s="80"/>
      <c r="G117" s="81"/>
      <c r="H117" s="82"/>
      <c r="I117" s="52"/>
    </row>
    <row r="118" hidden="1" outlineLevel="1">
      <c r="A118" s="97"/>
      <c r="B118" s="53"/>
      <c r="D118" s="78"/>
      <c r="E118" s="79" t="s">
        <v>93</v>
      </c>
      <c r="F118" s="80"/>
      <c r="G118" s="81"/>
      <c r="H118" s="82"/>
      <c r="I118" s="52"/>
    </row>
    <row r="119" hidden="1" outlineLevel="1">
      <c r="A119" s="97"/>
      <c r="B119" s="53"/>
      <c r="D119" s="78"/>
      <c r="E119" s="79" t="s">
        <v>95</v>
      </c>
      <c r="F119" s="80"/>
      <c r="G119" s="81"/>
      <c r="H119" s="82"/>
      <c r="I119" s="52"/>
    </row>
    <row r="120" hidden="1" outlineLevel="1">
      <c r="A120" s="97"/>
      <c r="B120" s="53"/>
      <c r="D120" s="78"/>
      <c r="E120" s="84" t="s">
        <v>97</v>
      </c>
      <c r="F120" s="85"/>
      <c r="G120" s="81"/>
      <c r="H120" s="82"/>
      <c r="I120" s="52"/>
    </row>
    <row r="121" outlineLevel="2">
      <c r="A121" s="105" t="s">
        <v>30</v>
      </c>
      <c r="B121" s="14"/>
      <c r="C121" s="21"/>
      <c r="D121" s="25"/>
      <c r="E121" s="25"/>
      <c r="F121" s="26"/>
      <c r="G121" s="27"/>
      <c r="H121" s="28"/>
      <c r="I121" s="13"/>
    </row>
    <row r="122" outlineLevel="2">
      <c r="A122" s="36"/>
      <c r="B122" s="14"/>
      <c r="C122" s="6" t="s">
        <v>10</v>
      </c>
      <c r="D122" s="7"/>
      <c r="E122" s="31">
        <v>46146.0</v>
      </c>
      <c r="F122" s="9"/>
      <c r="G122" s="33" t="s">
        <v>15</v>
      </c>
      <c r="H122" s="10"/>
      <c r="I122" s="13"/>
    </row>
    <row r="123" outlineLevel="2">
      <c r="A123" s="29"/>
      <c r="B123" s="14"/>
      <c r="D123" s="7"/>
      <c r="E123" s="31">
        <v>46153.0</v>
      </c>
      <c r="F123" s="9"/>
      <c r="G123" s="33" t="s">
        <v>18</v>
      </c>
      <c r="H123" s="10"/>
      <c r="I123" s="13"/>
    </row>
    <row r="124" outlineLevel="2">
      <c r="A124" s="29"/>
      <c r="B124" s="5"/>
      <c r="D124" s="15"/>
      <c r="E124" s="31">
        <v>46160.0</v>
      </c>
      <c r="F124" s="9"/>
      <c r="G124" s="33" t="s">
        <v>15</v>
      </c>
      <c r="H124" s="10"/>
      <c r="I124" s="13"/>
    </row>
    <row r="125" outlineLevel="2">
      <c r="A125" s="29"/>
      <c r="B125" s="5"/>
      <c r="D125" s="15"/>
      <c r="E125" s="31">
        <v>46167.0</v>
      </c>
      <c r="F125" s="9"/>
      <c r="G125" s="33" t="s">
        <v>18</v>
      </c>
      <c r="H125" s="10"/>
      <c r="I125" s="13"/>
    </row>
    <row r="126" outlineLevel="2">
      <c r="A126" s="29"/>
      <c r="B126" s="14"/>
      <c r="C126" s="16" t="s">
        <v>11</v>
      </c>
      <c r="D126" s="17"/>
      <c r="E126" s="18"/>
      <c r="F126" s="19"/>
      <c r="G126" s="18"/>
      <c r="H126" s="20"/>
      <c r="I126" s="13"/>
    </row>
    <row r="127" outlineLevel="2">
      <c r="A127" s="29"/>
      <c r="B127" s="14"/>
      <c r="D127" s="17"/>
      <c r="E127" s="18"/>
      <c r="F127" s="19"/>
      <c r="G127" s="18"/>
      <c r="H127" s="20"/>
      <c r="I127" s="13"/>
    </row>
    <row r="128" outlineLevel="2">
      <c r="A128" s="29"/>
      <c r="B128" s="14"/>
      <c r="D128" s="17"/>
      <c r="E128" s="18"/>
      <c r="F128" s="19"/>
      <c r="G128" s="18"/>
      <c r="H128" s="20"/>
      <c r="I128" s="13"/>
    </row>
    <row r="129" outlineLevel="2">
      <c r="A129" s="29"/>
      <c r="B129" s="12"/>
      <c r="D129" s="17"/>
      <c r="E129" s="18"/>
      <c r="F129" s="19"/>
      <c r="G129" s="18"/>
      <c r="H129" s="20"/>
      <c r="I129" s="13"/>
    </row>
    <row r="130" outlineLevel="2">
      <c r="A130" s="46"/>
      <c r="B130" s="38"/>
      <c r="C130" s="39"/>
      <c r="D130" s="38"/>
      <c r="E130" s="38"/>
      <c r="F130" s="39"/>
      <c r="G130" s="41"/>
      <c r="H130" s="47"/>
      <c r="I130" s="11"/>
    </row>
    <row r="131" hidden="1" outlineLevel="1">
      <c r="A131" s="92" t="s">
        <v>100</v>
      </c>
      <c r="B131" s="92"/>
      <c r="C131" s="93"/>
      <c r="D131" s="92"/>
      <c r="E131" s="92"/>
      <c r="F131" s="93"/>
      <c r="G131" s="94"/>
      <c r="H131" s="92"/>
      <c r="I131" s="52"/>
    </row>
    <row r="132" hidden="1" outlineLevel="1">
      <c r="A132" s="95"/>
      <c r="B132" s="92"/>
      <c r="C132" s="54" t="s">
        <v>31</v>
      </c>
      <c r="D132" s="114" t="s">
        <v>101</v>
      </c>
      <c r="E132" s="56" t="s">
        <v>102</v>
      </c>
      <c r="F132" s="57" t="s">
        <v>17</v>
      </c>
      <c r="G132" s="56" t="s">
        <v>49</v>
      </c>
      <c r="H132" s="115" t="s">
        <v>89</v>
      </c>
      <c r="I132" s="116" t="s">
        <v>103</v>
      </c>
    </row>
    <row r="133" hidden="1" outlineLevel="1">
      <c r="A133" s="97"/>
      <c r="B133" s="53"/>
      <c r="D133" s="59"/>
      <c r="E133" s="56" t="s">
        <v>104</v>
      </c>
      <c r="F133" s="57" t="s">
        <v>14</v>
      </c>
      <c r="G133" s="56"/>
      <c r="H133" s="58" t="s">
        <v>105</v>
      </c>
      <c r="I133" s="52"/>
    </row>
    <row r="134" hidden="1" outlineLevel="1">
      <c r="A134" s="97"/>
      <c r="B134" s="53"/>
      <c r="D134" s="61" t="s">
        <v>106</v>
      </c>
      <c r="E134" s="56" t="s">
        <v>107</v>
      </c>
      <c r="F134" s="57" t="s">
        <v>17</v>
      </c>
      <c r="G134" s="56" t="s">
        <v>42</v>
      </c>
      <c r="H134" s="58" t="s">
        <v>108</v>
      </c>
      <c r="I134" s="60" t="s">
        <v>109</v>
      </c>
    </row>
    <row r="135" hidden="1" outlineLevel="1">
      <c r="A135" s="97"/>
      <c r="B135" s="53"/>
      <c r="D135" s="61"/>
      <c r="E135" s="56" t="s">
        <v>110</v>
      </c>
      <c r="F135" s="57" t="s">
        <v>111</v>
      </c>
      <c r="G135" s="56"/>
      <c r="H135" s="58" t="s">
        <v>105</v>
      </c>
      <c r="I135" s="52"/>
    </row>
    <row r="136" hidden="1" outlineLevel="1">
      <c r="A136" s="97"/>
      <c r="B136" s="53"/>
      <c r="D136" s="117" t="s">
        <v>112</v>
      </c>
      <c r="E136" s="63" t="s">
        <v>113</v>
      </c>
      <c r="F136" s="64" t="s">
        <v>27</v>
      </c>
      <c r="G136" s="56"/>
      <c r="H136" s="55" t="s">
        <v>105</v>
      </c>
      <c r="I136" s="52"/>
    </row>
    <row r="137" hidden="1" outlineLevel="1">
      <c r="A137" s="97"/>
      <c r="B137" s="53"/>
      <c r="C137" s="113" t="s">
        <v>18</v>
      </c>
      <c r="D137" s="66" t="s">
        <v>114</v>
      </c>
      <c r="E137" s="67" t="s">
        <v>102</v>
      </c>
      <c r="F137" s="68" t="s">
        <v>17</v>
      </c>
      <c r="G137" s="69"/>
      <c r="H137" s="118" t="s">
        <v>105</v>
      </c>
      <c r="I137" s="116" t="s">
        <v>115</v>
      </c>
    </row>
    <row r="138" hidden="1" outlineLevel="1">
      <c r="A138" s="97"/>
      <c r="B138" s="53"/>
      <c r="D138" s="72"/>
      <c r="E138" s="72" t="s">
        <v>104</v>
      </c>
      <c r="F138" s="73" t="s">
        <v>14</v>
      </c>
      <c r="G138" s="69"/>
      <c r="H138" s="118" t="s">
        <v>105</v>
      </c>
      <c r="I138" s="52"/>
    </row>
    <row r="139" hidden="1" outlineLevel="1">
      <c r="A139" s="97"/>
      <c r="B139" s="53"/>
      <c r="D139" s="70" t="s">
        <v>116</v>
      </c>
      <c r="E139" s="74" t="s">
        <v>107</v>
      </c>
      <c r="F139" s="74" t="s">
        <v>17</v>
      </c>
      <c r="G139" s="69"/>
      <c r="H139" s="118" t="s">
        <v>105</v>
      </c>
      <c r="I139" s="52"/>
    </row>
    <row r="140" hidden="1" outlineLevel="1">
      <c r="A140" s="97"/>
      <c r="B140" s="53"/>
      <c r="D140" s="70"/>
      <c r="E140" s="74" t="s">
        <v>110</v>
      </c>
      <c r="F140" s="74" t="s">
        <v>14</v>
      </c>
      <c r="G140" s="69"/>
      <c r="H140" s="118" t="s">
        <v>105</v>
      </c>
      <c r="I140" s="52"/>
    </row>
    <row r="141" hidden="1" outlineLevel="1">
      <c r="A141" s="108"/>
      <c r="B141" s="108"/>
      <c r="C141" s="119" t="s">
        <v>38</v>
      </c>
      <c r="D141" s="78"/>
      <c r="E141" s="78"/>
      <c r="F141" s="120"/>
      <c r="G141" s="79"/>
      <c r="H141" s="121"/>
      <c r="I141" s="75" t="s">
        <v>117</v>
      </c>
    </row>
    <row r="142" hidden="1" outlineLevel="1">
      <c r="A142" s="108"/>
      <c r="B142" s="108"/>
      <c r="D142" s="78"/>
      <c r="E142" s="78"/>
      <c r="F142" s="120"/>
      <c r="G142" s="79"/>
      <c r="H142" s="121"/>
      <c r="I142" s="52"/>
    </row>
    <row r="143" hidden="1" outlineLevel="1">
      <c r="A143" s="108"/>
      <c r="B143" s="108"/>
      <c r="D143" s="78"/>
      <c r="E143" s="78"/>
      <c r="F143" s="120"/>
      <c r="G143" s="79"/>
      <c r="H143" s="121"/>
      <c r="I143" s="52"/>
    </row>
    <row r="144" hidden="1" outlineLevel="1">
      <c r="A144" s="108"/>
      <c r="B144" s="108"/>
      <c r="D144" s="78"/>
      <c r="E144" s="78"/>
      <c r="F144" s="120"/>
      <c r="G144" s="79"/>
      <c r="H144" s="121"/>
      <c r="I144" s="52"/>
    </row>
    <row r="145" hidden="1" outlineLevel="1">
      <c r="A145" s="86"/>
      <c r="B145" s="87"/>
      <c r="C145" s="88"/>
      <c r="D145" s="89"/>
      <c r="E145" s="89"/>
      <c r="F145" s="90"/>
      <c r="G145" s="91"/>
      <c r="H145" s="87"/>
      <c r="I145" s="122"/>
    </row>
    <row r="146" outlineLevel="2">
      <c r="A146" s="105" t="s">
        <v>39</v>
      </c>
      <c r="B146" s="14"/>
      <c r="C146" s="21"/>
      <c r="D146" s="25"/>
      <c r="E146" s="25"/>
      <c r="F146" s="26"/>
      <c r="G146" s="27"/>
      <c r="H146" s="28"/>
      <c r="I146" s="13"/>
    </row>
    <row r="147" outlineLevel="2">
      <c r="A147" s="36"/>
      <c r="B147" s="14"/>
      <c r="C147" s="6" t="s">
        <v>10</v>
      </c>
      <c r="D147" s="7"/>
      <c r="E147" s="31">
        <v>46174.0</v>
      </c>
      <c r="F147" s="9"/>
      <c r="G147" s="33" t="s">
        <v>15</v>
      </c>
      <c r="H147" s="10"/>
      <c r="I147" s="13"/>
    </row>
    <row r="148" outlineLevel="2">
      <c r="A148" s="29"/>
      <c r="B148" s="14"/>
      <c r="D148" s="7"/>
      <c r="E148" s="31">
        <v>46181.0</v>
      </c>
      <c r="F148" s="9"/>
      <c r="G148" s="33" t="s">
        <v>18</v>
      </c>
      <c r="H148" s="10"/>
      <c r="I148" s="13"/>
    </row>
    <row r="149" outlineLevel="2">
      <c r="A149" s="29"/>
      <c r="B149" s="5"/>
      <c r="D149" s="15"/>
      <c r="E149" s="31">
        <v>46188.0</v>
      </c>
      <c r="F149" s="9"/>
      <c r="G149" s="33" t="s">
        <v>15</v>
      </c>
      <c r="H149" s="10"/>
      <c r="I149" s="13"/>
    </row>
    <row r="150" outlineLevel="2">
      <c r="A150" s="29"/>
      <c r="B150" s="5"/>
      <c r="D150" s="15"/>
      <c r="E150" s="31">
        <v>46195.0</v>
      </c>
      <c r="F150" s="9"/>
      <c r="G150" s="33" t="s">
        <v>18</v>
      </c>
      <c r="H150" s="10"/>
      <c r="I150" s="13"/>
    </row>
    <row r="151" outlineLevel="2">
      <c r="A151" s="29"/>
      <c r="B151" s="5"/>
      <c r="C151" s="6"/>
      <c r="D151" s="15"/>
      <c r="E151" s="31">
        <v>46202.0</v>
      </c>
      <c r="F151" s="9"/>
      <c r="G151" s="33" t="s">
        <v>15</v>
      </c>
      <c r="H151" s="10"/>
      <c r="I151" s="13"/>
    </row>
    <row r="152" outlineLevel="2">
      <c r="A152" s="29"/>
      <c r="B152" s="14"/>
      <c r="C152" s="16" t="s">
        <v>11</v>
      </c>
      <c r="D152" s="17"/>
      <c r="E152" s="18"/>
      <c r="F152" s="19"/>
      <c r="G152" s="18"/>
      <c r="H152" s="20"/>
      <c r="I152" s="13"/>
    </row>
    <row r="153" outlineLevel="2">
      <c r="A153" s="29"/>
      <c r="B153" s="14"/>
      <c r="D153" s="17"/>
      <c r="E153" s="18"/>
      <c r="F153" s="19"/>
      <c r="G153" s="18"/>
      <c r="H153" s="20"/>
      <c r="I153" s="13"/>
    </row>
    <row r="154" outlineLevel="2">
      <c r="A154" s="29"/>
      <c r="B154" s="14"/>
      <c r="D154" s="17"/>
      <c r="E154" s="18"/>
      <c r="F154" s="19"/>
      <c r="G154" s="18"/>
      <c r="H154" s="20"/>
      <c r="I154" s="13"/>
    </row>
    <row r="155" outlineLevel="2">
      <c r="A155" s="29"/>
      <c r="B155" s="12"/>
      <c r="D155" s="17"/>
      <c r="E155" s="18"/>
      <c r="F155" s="19"/>
      <c r="G155" s="18"/>
      <c r="H155" s="20"/>
      <c r="I155" s="13"/>
    </row>
    <row r="156" outlineLevel="2">
      <c r="A156" s="46"/>
      <c r="B156" s="38"/>
      <c r="C156" s="39"/>
      <c r="D156" s="38"/>
      <c r="E156" s="38"/>
      <c r="F156" s="39"/>
      <c r="G156" s="41"/>
      <c r="H156" s="47"/>
      <c r="I156" s="11"/>
    </row>
    <row r="157" outlineLevel="2">
      <c r="A157" s="105" t="s">
        <v>57</v>
      </c>
      <c r="B157" s="14"/>
      <c r="C157" s="21"/>
      <c r="D157" s="25"/>
      <c r="E157" s="25"/>
      <c r="F157" s="26"/>
      <c r="G157" s="27"/>
      <c r="H157" s="28"/>
      <c r="I157" s="13"/>
    </row>
    <row r="158" outlineLevel="2">
      <c r="A158" s="36"/>
      <c r="B158" s="14"/>
      <c r="C158" s="6" t="s">
        <v>10</v>
      </c>
      <c r="D158" s="7"/>
      <c r="E158" s="31">
        <v>46209.0</v>
      </c>
      <c r="F158" s="9"/>
      <c r="G158" s="33" t="s">
        <v>18</v>
      </c>
      <c r="H158" s="10"/>
      <c r="I158" s="13"/>
    </row>
    <row r="159" outlineLevel="2">
      <c r="A159" s="29"/>
      <c r="B159" s="14"/>
      <c r="D159" s="7"/>
      <c r="E159" s="31">
        <v>46216.0</v>
      </c>
      <c r="F159" s="9"/>
      <c r="G159" s="33" t="s">
        <v>15</v>
      </c>
      <c r="H159" s="10"/>
      <c r="I159" s="13"/>
    </row>
    <row r="160" outlineLevel="2">
      <c r="A160" s="29"/>
      <c r="B160" s="5"/>
      <c r="D160" s="15"/>
      <c r="E160" s="31">
        <v>46223.0</v>
      </c>
      <c r="F160" s="9"/>
      <c r="G160" s="33" t="s">
        <v>18</v>
      </c>
      <c r="H160" s="10"/>
      <c r="I160" s="13"/>
    </row>
    <row r="161" outlineLevel="2">
      <c r="A161" s="29"/>
      <c r="B161" s="5"/>
      <c r="D161" s="15"/>
      <c r="E161" s="31">
        <v>46230.0</v>
      </c>
      <c r="F161" s="9"/>
      <c r="G161" s="33" t="s">
        <v>15</v>
      </c>
      <c r="H161" s="10"/>
      <c r="I161" s="13"/>
    </row>
    <row r="162" outlineLevel="2">
      <c r="A162" s="29"/>
      <c r="B162" s="14"/>
      <c r="C162" s="16" t="s">
        <v>11</v>
      </c>
      <c r="D162" s="17"/>
      <c r="E162" s="18"/>
      <c r="F162" s="19"/>
      <c r="G162" s="18"/>
      <c r="H162" s="20"/>
      <c r="I162" s="13"/>
    </row>
    <row r="163" outlineLevel="2">
      <c r="A163" s="29"/>
      <c r="B163" s="14"/>
      <c r="D163" s="17"/>
      <c r="E163" s="18"/>
      <c r="F163" s="19"/>
      <c r="G163" s="18"/>
      <c r="H163" s="20"/>
      <c r="I163" s="13"/>
    </row>
    <row r="164" outlineLevel="2">
      <c r="A164" s="29"/>
      <c r="B164" s="14"/>
      <c r="D164" s="17"/>
      <c r="E164" s="18"/>
      <c r="F164" s="19"/>
      <c r="G164" s="18"/>
      <c r="H164" s="20"/>
      <c r="I164" s="13"/>
    </row>
    <row r="165" outlineLevel="2">
      <c r="A165" s="29"/>
      <c r="B165" s="12"/>
      <c r="D165" s="17"/>
      <c r="E165" s="18"/>
      <c r="F165" s="19"/>
      <c r="G165" s="18"/>
      <c r="H165" s="20"/>
      <c r="I165" s="13"/>
    </row>
    <row r="166" outlineLevel="2">
      <c r="A166" s="46"/>
      <c r="B166" s="38"/>
      <c r="C166" s="39"/>
      <c r="D166" s="38"/>
      <c r="E166" s="38"/>
      <c r="F166" s="39"/>
      <c r="G166" s="41"/>
      <c r="H166" s="47"/>
      <c r="I166" s="11"/>
    </row>
    <row r="167" outlineLevel="2">
      <c r="A167" s="105" t="s">
        <v>68</v>
      </c>
      <c r="B167" s="14"/>
      <c r="C167" s="21"/>
      <c r="D167" s="25"/>
      <c r="E167" s="25"/>
      <c r="F167" s="26"/>
      <c r="G167" s="27"/>
      <c r="H167" s="28"/>
      <c r="I167" s="13"/>
    </row>
    <row r="168" outlineLevel="2">
      <c r="A168" s="36"/>
      <c r="B168" s="14"/>
      <c r="C168" s="6" t="s">
        <v>10</v>
      </c>
      <c r="D168" s="7"/>
      <c r="E168" s="31">
        <v>46237.0</v>
      </c>
      <c r="F168" s="9"/>
      <c r="G168" s="33" t="s">
        <v>18</v>
      </c>
      <c r="H168" s="10"/>
      <c r="I168" s="13"/>
    </row>
    <row r="169" outlineLevel="2">
      <c r="A169" s="29"/>
      <c r="B169" s="14"/>
      <c r="D169" s="7"/>
      <c r="E169" s="31">
        <v>46244.0</v>
      </c>
      <c r="F169" s="9"/>
      <c r="G169" s="33" t="s">
        <v>15</v>
      </c>
      <c r="H169" s="10"/>
      <c r="I169" s="13"/>
    </row>
    <row r="170" outlineLevel="2">
      <c r="A170" s="29"/>
      <c r="B170" s="5"/>
      <c r="D170" s="15"/>
      <c r="E170" s="31">
        <v>46251.0</v>
      </c>
      <c r="F170" s="9"/>
      <c r="G170" s="33" t="s">
        <v>18</v>
      </c>
      <c r="H170" s="10"/>
      <c r="I170" s="13"/>
    </row>
    <row r="171" outlineLevel="2">
      <c r="A171" s="29"/>
      <c r="B171" s="5"/>
      <c r="D171" s="15"/>
      <c r="E171" s="31">
        <v>46258.0</v>
      </c>
      <c r="F171" s="9"/>
      <c r="G171" s="33" t="s">
        <v>15</v>
      </c>
      <c r="H171" s="10"/>
      <c r="I171" s="13"/>
    </row>
    <row r="172" outlineLevel="2">
      <c r="A172" s="29"/>
      <c r="B172" s="14"/>
      <c r="C172" s="16" t="s">
        <v>11</v>
      </c>
      <c r="D172" s="17"/>
      <c r="E172" s="18"/>
      <c r="F172" s="19"/>
      <c r="G172" s="18"/>
      <c r="H172" s="20"/>
      <c r="I172" s="13"/>
    </row>
    <row r="173" outlineLevel="2">
      <c r="A173" s="29"/>
      <c r="B173" s="14"/>
      <c r="D173" s="17"/>
      <c r="E173" s="18"/>
      <c r="F173" s="19"/>
      <c r="G173" s="18"/>
      <c r="H173" s="20"/>
      <c r="I173" s="13"/>
    </row>
    <row r="174" outlineLevel="2">
      <c r="A174" s="29"/>
      <c r="B174" s="14"/>
      <c r="D174" s="17"/>
      <c r="E174" s="18"/>
      <c r="F174" s="19"/>
      <c r="G174" s="18"/>
      <c r="H174" s="20"/>
      <c r="I174" s="13"/>
    </row>
    <row r="175" outlineLevel="2">
      <c r="A175" s="29"/>
      <c r="B175" s="12"/>
      <c r="D175" s="17"/>
      <c r="E175" s="18"/>
      <c r="F175" s="19"/>
      <c r="G175" s="18"/>
      <c r="H175" s="20"/>
      <c r="I175" s="13"/>
    </row>
    <row r="176" outlineLevel="2">
      <c r="A176" s="46"/>
      <c r="B176" s="38"/>
      <c r="C176" s="39"/>
      <c r="D176" s="38"/>
      <c r="E176" s="38"/>
      <c r="F176" s="39"/>
      <c r="G176" s="41"/>
      <c r="H176" s="47"/>
      <c r="I176" s="11"/>
    </row>
    <row r="177" outlineLevel="2">
      <c r="A177" s="105" t="s">
        <v>118</v>
      </c>
      <c r="B177" s="14"/>
      <c r="C177" s="21"/>
      <c r="D177" s="25"/>
      <c r="E177" s="25"/>
      <c r="F177" s="26"/>
      <c r="G177" s="27"/>
      <c r="H177" s="28"/>
      <c r="I177" s="13"/>
    </row>
    <row r="178" outlineLevel="2">
      <c r="A178" s="36"/>
      <c r="B178" s="14"/>
      <c r="C178" s="6" t="s">
        <v>10</v>
      </c>
      <c r="D178" s="7"/>
      <c r="E178" s="31">
        <v>46266.0</v>
      </c>
      <c r="F178" s="9"/>
      <c r="G178" s="33" t="s">
        <v>18</v>
      </c>
      <c r="H178" s="10"/>
      <c r="I178" s="13"/>
    </row>
    <row r="179" outlineLevel="2">
      <c r="A179" s="29"/>
      <c r="B179" s="14"/>
      <c r="D179" s="7"/>
      <c r="E179" s="31">
        <v>46272.0</v>
      </c>
      <c r="F179" s="9"/>
      <c r="G179" s="33" t="s">
        <v>15</v>
      </c>
      <c r="H179" s="10"/>
      <c r="I179" s="13"/>
    </row>
    <row r="180" outlineLevel="2">
      <c r="A180" s="29"/>
      <c r="B180" s="5"/>
      <c r="D180" s="15"/>
      <c r="E180" s="31">
        <v>46279.0</v>
      </c>
      <c r="F180" s="9"/>
      <c r="G180" s="33" t="s">
        <v>18</v>
      </c>
      <c r="H180" s="10"/>
      <c r="I180" s="13"/>
    </row>
    <row r="181" outlineLevel="2">
      <c r="A181" s="29"/>
      <c r="B181" s="5"/>
      <c r="D181" s="15"/>
      <c r="E181" s="31">
        <v>46286.0</v>
      </c>
      <c r="F181" s="9"/>
      <c r="G181" s="33" t="s">
        <v>15</v>
      </c>
      <c r="H181" s="10"/>
      <c r="I181" s="13"/>
    </row>
    <row r="182" outlineLevel="2">
      <c r="A182" s="29"/>
      <c r="B182" s="5"/>
      <c r="C182" s="6"/>
      <c r="D182" s="15"/>
      <c r="E182" s="31">
        <v>46293.0</v>
      </c>
      <c r="F182" s="9"/>
      <c r="G182" s="33" t="s">
        <v>18</v>
      </c>
      <c r="H182" s="10"/>
      <c r="I182" s="13"/>
    </row>
    <row r="183" outlineLevel="2">
      <c r="A183" s="29"/>
      <c r="B183" s="14"/>
      <c r="C183" s="16" t="s">
        <v>11</v>
      </c>
      <c r="D183" s="17"/>
      <c r="E183" s="18"/>
      <c r="F183" s="19"/>
      <c r="G183" s="18"/>
      <c r="H183" s="20"/>
      <c r="I183" s="13"/>
    </row>
    <row r="184" outlineLevel="2">
      <c r="A184" s="29"/>
      <c r="B184" s="14"/>
      <c r="D184" s="17"/>
      <c r="E184" s="18"/>
      <c r="F184" s="19"/>
      <c r="G184" s="18"/>
      <c r="H184" s="20"/>
      <c r="I184" s="13"/>
    </row>
    <row r="185" outlineLevel="2">
      <c r="A185" s="29"/>
      <c r="B185" s="14"/>
      <c r="D185" s="17"/>
      <c r="E185" s="18"/>
      <c r="F185" s="19"/>
      <c r="G185" s="18"/>
      <c r="H185" s="20"/>
      <c r="I185" s="13"/>
    </row>
    <row r="186" outlineLevel="2">
      <c r="A186" s="29"/>
      <c r="B186" s="12"/>
      <c r="D186" s="17"/>
      <c r="E186" s="18"/>
      <c r="F186" s="19"/>
      <c r="G186" s="18"/>
      <c r="H186" s="20"/>
      <c r="I186" s="13"/>
    </row>
    <row r="187" outlineLevel="2">
      <c r="A187" s="46"/>
      <c r="B187" s="38"/>
      <c r="C187" s="39"/>
      <c r="D187" s="38"/>
      <c r="E187" s="38"/>
      <c r="F187" s="39"/>
      <c r="G187" s="41"/>
      <c r="H187" s="47"/>
      <c r="I187" s="11"/>
    </row>
    <row r="188" outlineLevel="2">
      <c r="A188" s="105" t="s">
        <v>87</v>
      </c>
      <c r="B188" s="14"/>
      <c r="C188" s="21"/>
      <c r="D188" s="25"/>
      <c r="E188" s="25"/>
      <c r="F188" s="26"/>
      <c r="G188" s="27"/>
      <c r="H188" s="28"/>
      <c r="I188" s="13"/>
    </row>
    <row r="189" outlineLevel="2">
      <c r="A189" s="36"/>
      <c r="B189" s="14"/>
      <c r="C189" s="6" t="s">
        <v>10</v>
      </c>
      <c r="D189" s="7"/>
      <c r="E189" s="31">
        <v>46300.0</v>
      </c>
      <c r="F189" s="9"/>
      <c r="G189" s="33" t="s">
        <v>15</v>
      </c>
      <c r="H189" s="10"/>
      <c r="I189" s="13"/>
    </row>
    <row r="190" outlineLevel="2">
      <c r="A190" s="29"/>
      <c r="B190" s="14"/>
      <c r="D190" s="7"/>
      <c r="E190" s="123">
        <v>46307.0</v>
      </c>
      <c r="F190" s="9"/>
      <c r="G190" s="33" t="s">
        <v>18</v>
      </c>
      <c r="H190" s="10"/>
      <c r="I190" s="13"/>
    </row>
    <row r="191" outlineLevel="2">
      <c r="A191" s="29"/>
      <c r="B191" s="5"/>
      <c r="D191" s="15"/>
      <c r="E191" s="123">
        <v>46314.0</v>
      </c>
      <c r="F191" s="9"/>
      <c r="G191" s="33" t="s">
        <v>15</v>
      </c>
      <c r="H191" s="10"/>
      <c r="I191" s="13"/>
    </row>
    <row r="192" outlineLevel="2">
      <c r="A192" s="29"/>
      <c r="B192" s="5"/>
      <c r="D192" s="15"/>
      <c r="E192" s="123">
        <v>46321.0</v>
      </c>
      <c r="F192" s="9"/>
      <c r="G192" s="33" t="s">
        <v>18</v>
      </c>
      <c r="H192" s="10"/>
      <c r="I192" s="13"/>
    </row>
    <row r="193" outlineLevel="2">
      <c r="A193" s="29"/>
      <c r="B193" s="14"/>
      <c r="C193" s="16" t="s">
        <v>11</v>
      </c>
      <c r="D193" s="17"/>
      <c r="E193" s="18"/>
      <c r="F193" s="19"/>
      <c r="G193" s="18"/>
      <c r="H193" s="20"/>
      <c r="I193" s="13"/>
    </row>
    <row r="194" outlineLevel="2">
      <c r="A194" s="29"/>
      <c r="B194" s="14"/>
      <c r="D194" s="17"/>
      <c r="E194" s="18"/>
      <c r="F194" s="19"/>
      <c r="G194" s="18"/>
      <c r="H194" s="20"/>
      <c r="I194" s="13"/>
    </row>
    <row r="195" outlineLevel="2">
      <c r="A195" s="29"/>
      <c r="B195" s="14"/>
      <c r="D195" s="17"/>
      <c r="E195" s="18"/>
      <c r="F195" s="19"/>
      <c r="G195" s="18"/>
      <c r="H195" s="20"/>
      <c r="I195" s="13"/>
    </row>
    <row r="196" outlineLevel="2">
      <c r="A196" s="29"/>
      <c r="B196" s="12"/>
      <c r="D196" s="17"/>
      <c r="E196" s="18"/>
      <c r="F196" s="19"/>
      <c r="G196" s="18"/>
      <c r="H196" s="20"/>
      <c r="I196" s="13"/>
    </row>
    <row r="197" outlineLevel="2">
      <c r="A197" s="46"/>
      <c r="B197" s="38"/>
      <c r="C197" s="39"/>
      <c r="D197" s="38"/>
      <c r="E197" s="38"/>
      <c r="F197" s="39"/>
      <c r="G197" s="41"/>
      <c r="H197" s="47"/>
      <c r="I197" s="11"/>
    </row>
    <row r="198" outlineLevel="2">
      <c r="A198" s="105" t="s">
        <v>119</v>
      </c>
      <c r="B198" s="14"/>
      <c r="C198" s="21"/>
      <c r="D198" s="25"/>
      <c r="E198" s="25"/>
      <c r="F198" s="26"/>
      <c r="G198" s="27"/>
      <c r="H198" s="28"/>
      <c r="I198" s="13"/>
    </row>
    <row r="199" outlineLevel="2">
      <c r="A199" s="36"/>
      <c r="B199" s="14"/>
      <c r="C199" s="6" t="s">
        <v>10</v>
      </c>
      <c r="D199" s="7"/>
      <c r="E199" s="31">
        <v>46328.0</v>
      </c>
      <c r="F199" s="9"/>
      <c r="G199" s="33" t="s">
        <v>15</v>
      </c>
      <c r="H199" s="10"/>
      <c r="I199" s="13"/>
    </row>
    <row r="200" outlineLevel="2">
      <c r="A200" s="29"/>
      <c r="B200" s="14"/>
      <c r="D200" s="7"/>
      <c r="E200" s="31">
        <v>46335.0</v>
      </c>
      <c r="F200" s="9"/>
      <c r="G200" s="33" t="s">
        <v>18</v>
      </c>
      <c r="H200" s="10"/>
      <c r="I200" s="13"/>
    </row>
    <row r="201" outlineLevel="2">
      <c r="A201" s="29"/>
      <c r="B201" s="5"/>
      <c r="D201" s="15"/>
      <c r="E201" s="123">
        <v>46342.0</v>
      </c>
      <c r="F201" s="9"/>
      <c r="G201" s="33" t="s">
        <v>15</v>
      </c>
      <c r="H201" s="10"/>
      <c r="I201" s="13"/>
    </row>
    <row r="202" outlineLevel="2">
      <c r="A202" s="29"/>
      <c r="B202" s="5"/>
      <c r="D202" s="15"/>
      <c r="E202" s="123">
        <v>46349.0</v>
      </c>
      <c r="F202" s="9"/>
      <c r="G202" s="33" t="s">
        <v>18</v>
      </c>
      <c r="H202" s="10"/>
      <c r="I202" s="13"/>
    </row>
    <row r="203" outlineLevel="2">
      <c r="A203" s="29"/>
      <c r="B203" s="14"/>
      <c r="C203" s="16" t="s">
        <v>11</v>
      </c>
      <c r="D203" s="17"/>
      <c r="E203" s="18"/>
      <c r="F203" s="19"/>
      <c r="G203" s="18"/>
      <c r="H203" s="20"/>
      <c r="I203" s="13"/>
    </row>
    <row r="204" outlineLevel="2">
      <c r="A204" s="29"/>
      <c r="B204" s="14"/>
      <c r="D204" s="17"/>
      <c r="E204" s="18"/>
      <c r="F204" s="19"/>
      <c r="G204" s="18"/>
      <c r="H204" s="20"/>
      <c r="I204" s="13"/>
    </row>
    <row r="205" outlineLevel="2">
      <c r="A205" s="29"/>
      <c r="B205" s="14"/>
      <c r="D205" s="17"/>
      <c r="E205" s="18"/>
      <c r="F205" s="19"/>
      <c r="G205" s="18"/>
      <c r="H205" s="20"/>
      <c r="I205" s="13"/>
    </row>
    <row r="206" outlineLevel="2">
      <c r="A206" s="29"/>
      <c r="B206" s="12"/>
      <c r="D206" s="17"/>
      <c r="E206" s="18"/>
      <c r="F206" s="19"/>
      <c r="G206" s="18"/>
      <c r="H206" s="20"/>
      <c r="I206" s="13"/>
    </row>
    <row r="207" outlineLevel="2">
      <c r="A207" s="46"/>
      <c r="B207" s="38"/>
      <c r="C207" s="39"/>
      <c r="D207" s="38"/>
      <c r="E207" s="38"/>
      <c r="F207" s="39"/>
      <c r="G207" s="41"/>
      <c r="H207" s="47"/>
      <c r="I207" s="11"/>
    </row>
    <row r="208" outlineLevel="2">
      <c r="A208" s="105" t="s">
        <v>100</v>
      </c>
      <c r="B208" s="14"/>
      <c r="C208" s="21"/>
      <c r="D208" s="25"/>
      <c r="E208" s="25"/>
      <c r="F208" s="26"/>
      <c r="G208" s="27"/>
      <c r="H208" s="28"/>
      <c r="I208" s="13"/>
    </row>
    <row r="209" outlineLevel="2">
      <c r="A209" s="36"/>
      <c r="B209" s="124" t="s">
        <v>120</v>
      </c>
      <c r="C209" s="6" t="s">
        <v>10</v>
      </c>
      <c r="D209" s="7"/>
      <c r="E209" s="31">
        <v>46357.0</v>
      </c>
      <c r="F209" s="9"/>
      <c r="G209" s="33" t="s">
        <v>15</v>
      </c>
      <c r="H209" s="10"/>
      <c r="I209" s="13"/>
    </row>
    <row r="210" outlineLevel="2">
      <c r="A210" s="29"/>
      <c r="B210" s="124" t="s">
        <v>121</v>
      </c>
      <c r="D210" s="7"/>
      <c r="E210" s="31">
        <v>46363.0</v>
      </c>
      <c r="F210" s="9"/>
      <c r="G210" s="33" t="s">
        <v>18</v>
      </c>
      <c r="H210" s="10"/>
      <c r="I210" s="13"/>
    </row>
    <row r="211" outlineLevel="2">
      <c r="A211" s="29"/>
      <c r="B211" s="5"/>
      <c r="D211" s="15"/>
      <c r="E211" s="123">
        <v>46370.0</v>
      </c>
      <c r="F211" s="9"/>
      <c r="G211" s="33" t="s">
        <v>15</v>
      </c>
      <c r="H211" s="10"/>
      <c r="I211" s="13"/>
    </row>
    <row r="212" outlineLevel="2">
      <c r="A212" s="29"/>
      <c r="B212" s="5"/>
      <c r="D212" s="15"/>
      <c r="E212" s="123">
        <v>46377.0</v>
      </c>
      <c r="F212" s="9"/>
      <c r="G212" s="33" t="s">
        <v>18</v>
      </c>
      <c r="H212" s="10"/>
      <c r="I212" s="13"/>
    </row>
    <row r="213" outlineLevel="2">
      <c r="A213" s="29"/>
      <c r="B213" s="5"/>
      <c r="C213" s="6"/>
      <c r="D213" s="15"/>
      <c r="E213" s="123">
        <v>46384.0</v>
      </c>
      <c r="F213" s="9"/>
      <c r="G213" s="33" t="s">
        <v>15</v>
      </c>
      <c r="H213" s="10"/>
      <c r="I213" s="13"/>
    </row>
    <row r="214" outlineLevel="2">
      <c r="A214" s="29"/>
      <c r="B214" s="14"/>
      <c r="C214" s="16" t="s">
        <v>11</v>
      </c>
      <c r="D214" s="17"/>
      <c r="E214" s="18"/>
      <c r="F214" s="19"/>
      <c r="G214" s="18"/>
      <c r="H214" s="20"/>
      <c r="I214" s="13"/>
    </row>
    <row r="215" outlineLevel="2">
      <c r="A215" s="29"/>
      <c r="B215" s="14"/>
      <c r="D215" s="17"/>
      <c r="E215" s="18"/>
      <c r="F215" s="19"/>
      <c r="G215" s="18"/>
      <c r="H215" s="20"/>
      <c r="I215" s="13"/>
    </row>
    <row r="216" outlineLevel="2">
      <c r="A216" s="29"/>
      <c r="B216" s="14"/>
      <c r="D216" s="17"/>
      <c r="E216" s="18"/>
      <c r="F216" s="19"/>
      <c r="G216" s="18"/>
      <c r="H216" s="20"/>
      <c r="I216" s="13"/>
    </row>
    <row r="217" outlineLevel="2">
      <c r="A217" s="29"/>
      <c r="B217" s="12"/>
      <c r="D217" s="17"/>
      <c r="E217" s="18"/>
      <c r="F217" s="19"/>
      <c r="G217" s="18"/>
      <c r="H217" s="20"/>
      <c r="I217" s="13"/>
    </row>
    <row r="218" outlineLevel="2">
      <c r="A218" s="46"/>
      <c r="B218" s="38"/>
      <c r="C218" s="39"/>
      <c r="D218" s="38"/>
      <c r="E218" s="38"/>
      <c r="F218" s="39"/>
      <c r="G218" s="41"/>
      <c r="H218" s="47"/>
      <c r="I218" s="11"/>
    </row>
    <row r="219">
      <c r="C219" s="125"/>
      <c r="F219" s="125"/>
      <c r="G219" s="126"/>
    </row>
    <row r="220">
      <c r="C220" s="125"/>
      <c r="F220" s="125"/>
      <c r="G220" s="126"/>
    </row>
    <row r="221">
      <c r="C221" s="125"/>
      <c r="F221" s="125"/>
      <c r="G221" s="126"/>
    </row>
    <row r="222">
      <c r="C222" s="125"/>
      <c r="F222" s="125"/>
      <c r="G222" s="126"/>
    </row>
    <row r="223">
      <c r="C223" s="125"/>
      <c r="F223" s="125"/>
      <c r="G223" s="126"/>
    </row>
    <row r="224">
      <c r="C224" s="125"/>
      <c r="F224" s="125"/>
      <c r="G224" s="126"/>
    </row>
    <row r="225">
      <c r="C225" s="125"/>
      <c r="F225" s="125"/>
      <c r="G225" s="126"/>
    </row>
    <row r="226">
      <c r="C226" s="125"/>
      <c r="F226" s="125"/>
      <c r="G226" s="126"/>
    </row>
    <row r="227">
      <c r="C227" s="125"/>
      <c r="F227" s="125"/>
      <c r="G227" s="126"/>
    </row>
    <row r="228">
      <c r="C228" s="125"/>
      <c r="F228" s="125"/>
      <c r="G228" s="126"/>
    </row>
    <row r="229">
      <c r="C229" s="125"/>
      <c r="F229" s="125"/>
      <c r="G229" s="126"/>
    </row>
    <row r="230">
      <c r="C230" s="125"/>
      <c r="F230" s="125"/>
      <c r="G230" s="126"/>
    </row>
    <row r="231">
      <c r="C231" s="125"/>
      <c r="F231" s="125"/>
      <c r="G231" s="126"/>
    </row>
    <row r="232">
      <c r="C232" s="125"/>
      <c r="F232" s="125"/>
      <c r="G232" s="126"/>
    </row>
    <row r="233">
      <c r="C233" s="125"/>
      <c r="F233" s="125"/>
      <c r="G233" s="126"/>
    </row>
    <row r="234">
      <c r="C234" s="125"/>
      <c r="F234" s="125"/>
      <c r="G234" s="126"/>
    </row>
    <row r="235">
      <c r="C235" s="125"/>
      <c r="F235" s="125"/>
      <c r="G235" s="126"/>
    </row>
    <row r="236">
      <c r="C236" s="125"/>
      <c r="F236" s="125"/>
      <c r="G236" s="126"/>
    </row>
    <row r="237">
      <c r="C237" s="125"/>
      <c r="F237" s="125"/>
      <c r="G237" s="126"/>
    </row>
    <row r="238">
      <c r="C238" s="125"/>
      <c r="F238" s="125"/>
      <c r="G238" s="126"/>
    </row>
    <row r="239">
      <c r="C239" s="125"/>
      <c r="F239" s="125"/>
      <c r="G239" s="126"/>
    </row>
    <row r="240">
      <c r="C240" s="125"/>
      <c r="F240" s="125"/>
      <c r="G240" s="126"/>
    </row>
    <row r="241">
      <c r="C241" s="125"/>
      <c r="F241" s="125"/>
      <c r="G241" s="126"/>
    </row>
    <row r="242">
      <c r="C242" s="125"/>
      <c r="F242" s="125"/>
      <c r="G242" s="126"/>
    </row>
    <row r="243">
      <c r="C243" s="125"/>
      <c r="F243" s="125"/>
      <c r="G243" s="126"/>
    </row>
    <row r="244">
      <c r="C244" s="125"/>
      <c r="F244" s="125"/>
      <c r="G244" s="126"/>
    </row>
    <row r="245">
      <c r="C245" s="125"/>
      <c r="F245" s="125"/>
      <c r="G245" s="126"/>
    </row>
    <row r="246">
      <c r="C246" s="125"/>
      <c r="F246" s="125"/>
      <c r="G246" s="126"/>
    </row>
    <row r="247">
      <c r="C247" s="125"/>
      <c r="F247" s="125"/>
      <c r="G247" s="126"/>
    </row>
    <row r="248">
      <c r="C248" s="125"/>
      <c r="F248" s="125"/>
      <c r="G248" s="126"/>
    </row>
    <row r="249">
      <c r="C249" s="125"/>
      <c r="F249" s="125"/>
      <c r="G249" s="126"/>
    </row>
    <row r="250">
      <c r="C250" s="125"/>
      <c r="F250" s="125"/>
      <c r="G250" s="126"/>
    </row>
    <row r="251">
      <c r="C251" s="125"/>
      <c r="F251" s="125"/>
      <c r="G251" s="126"/>
    </row>
    <row r="252">
      <c r="C252" s="125"/>
      <c r="F252" s="125"/>
      <c r="G252" s="126"/>
    </row>
    <row r="253">
      <c r="C253" s="125"/>
      <c r="F253" s="125"/>
      <c r="G253" s="126"/>
    </row>
    <row r="254">
      <c r="C254" s="125"/>
      <c r="F254" s="125"/>
      <c r="G254" s="126"/>
    </row>
    <row r="255">
      <c r="C255" s="125"/>
      <c r="F255" s="125"/>
      <c r="G255" s="126"/>
    </row>
    <row r="256">
      <c r="C256" s="125"/>
      <c r="F256" s="125"/>
      <c r="G256" s="126"/>
    </row>
    <row r="257">
      <c r="C257" s="125"/>
      <c r="F257" s="125"/>
      <c r="G257" s="126"/>
    </row>
    <row r="258">
      <c r="C258" s="125"/>
      <c r="F258" s="125"/>
      <c r="G258" s="126"/>
    </row>
    <row r="259">
      <c r="C259" s="125"/>
      <c r="F259" s="125"/>
      <c r="G259" s="126"/>
    </row>
    <row r="260">
      <c r="C260" s="125"/>
      <c r="F260" s="125"/>
      <c r="G260" s="126"/>
    </row>
    <row r="261">
      <c r="C261" s="125"/>
      <c r="F261" s="125"/>
      <c r="G261" s="126"/>
    </row>
    <row r="262">
      <c r="C262" s="125"/>
      <c r="F262" s="125"/>
      <c r="G262" s="126"/>
    </row>
    <row r="263">
      <c r="C263" s="125"/>
      <c r="F263" s="125"/>
      <c r="G263" s="126"/>
    </row>
    <row r="264">
      <c r="C264" s="125"/>
      <c r="F264" s="125"/>
      <c r="G264" s="126"/>
    </row>
    <row r="265">
      <c r="C265" s="125"/>
      <c r="F265" s="125"/>
      <c r="G265" s="126"/>
    </row>
    <row r="266">
      <c r="C266" s="125"/>
      <c r="F266" s="125"/>
      <c r="G266" s="126"/>
    </row>
    <row r="267">
      <c r="C267" s="125"/>
      <c r="F267" s="125"/>
      <c r="G267" s="126"/>
    </row>
    <row r="268">
      <c r="C268" s="125"/>
      <c r="F268" s="125"/>
      <c r="G268" s="126"/>
    </row>
    <row r="269">
      <c r="C269" s="125"/>
      <c r="F269" s="125"/>
      <c r="G269" s="126"/>
    </row>
    <row r="270">
      <c r="C270" s="125"/>
      <c r="F270" s="125"/>
      <c r="G270" s="126"/>
    </row>
    <row r="271">
      <c r="C271" s="125"/>
      <c r="F271" s="125"/>
      <c r="G271" s="126"/>
    </row>
    <row r="272">
      <c r="C272" s="125"/>
      <c r="F272" s="125"/>
      <c r="G272" s="126"/>
    </row>
    <row r="273">
      <c r="C273" s="125"/>
      <c r="F273" s="125"/>
      <c r="G273" s="126"/>
    </row>
    <row r="274">
      <c r="C274" s="125"/>
      <c r="F274" s="125"/>
      <c r="G274" s="126"/>
    </row>
    <row r="275">
      <c r="C275" s="125"/>
      <c r="F275" s="125"/>
      <c r="G275" s="126"/>
    </row>
    <row r="276">
      <c r="C276" s="125"/>
      <c r="F276" s="125"/>
      <c r="G276" s="126"/>
    </row>
    <row r="277">
      <c r="C277" s="125"/>
      <c r="F277" s="125"/>
      <c r="G277" s="126"/>
    </row>
    <row r="278">
      <c r="C278" s="125"/>
      <c r="F278" s="125"/>
      <c r="G278" s="126"/>
    </row>
    <row r="279">
      <c r="C279" s="125"/>
      <c r="F279" s="125"/>
      <c r="G279" s="126"/>
    </row>
    <row r="280">
      <c r="C280" s="125"/>
      <c r="F280" s="125"/>
      <c r="G280" s="126"/>
    </row>
    <row r="281">
      <c r="C281" s="125"/>
      <c r="F281" s="125"/>
      <c r="G281" s="126"/>
    </row>
    <row r="282">
      <c r="C282" s="125"/>
      <c r="F282" s="125"/>
      <c r="G282" s="126"/>
    </row>
    <row r="283">
      <c r="C283" s="125"/>
      <c r="F283" s="125"/>
      <c r="G283" s="126"/>
    </row>
    <row r="284">
      <c r="C284" s="125"/>
      <c r="F284" s="125"/>
      <c r="G284" s="126"/>
    </row>
    <row r="285">
      <c r="C285" s="125"/>
      <c r="F285" s="125"/>
      <c r="G285" s="126"/>
    </row>
    <row r="286">
      <c r="C286" s="125"/>
      <c r="F286" s="125"/>
      <c r="G286" s="126"/>
    </row>
    <row r="287">
      <c r="C287" s="125"/>
      <c r="F287" s="125"/>
      <c r="G287" s="126"/>
    </row>
    <row r="288">
      <c r="C288" s="125"/>
      <c r="F288" s="125"/>
      <c r="G288" s="126"/>
    </row>
    <row r="289">
      <c r="C289" s="125"/>
      <c r="F289" s="125"/>
      <c r="G289" s="126"/>
    </row>
    <row r="290">
      <c r="C290" s="125"/>
      <c r="F290" s="125"/>
      <c r="G290" s="126"/>
    </row>
    <row r="291">
      <c r="C291" s="125"/>
      <c r="F291" s="125"/>
      <c r="G291" s="126"/>
    </row>
    <row r="292">
      <c r="C292" s="125"/>
      <c r="F292" s="125"/>
      <c r="G292" s="126"/>
    </row>
    <row r="293">
      <c r="C293" s="125"/>
      <c r="F293" s="125"/>
      <c r="G293" s="126"/>
    </row>
    <row r="294">
      <c r="C294" s="125"/>
      <c r="F294" s="125"/>
      <c r="G294" s="126"/>
    </row>
    <row r="295">
      <c r="C295" s="125"/>
      <c r="F295" s="125"/>
      <c r="G295" s="126"/>
    </row>
    <row r="296">
      <c r="C296" s="125"/>
      <c r="F296" s="125"/>
      <c r="G296" s="126"/>
    </row>
    <row r="297">
      <c r="C297" s="125"/>
      <c r="F297" s="125"/>
      <c r="G297" s="126"/>
    </row>
    <row r="298">
      <c r="C298" s="125"/>
      <c r="F298" s="125"/>
      <c r="G298" s="126"/>
    </row>
    <row r="299">
      <c r="C299" s="125"/>
      <c r="F299" s="125"/>
      <c r="G299" s="126"/>
    </row>
    <row r="300">
      <c r="C300" s="125"/>
      <c r="F300" s="125"/>
      <c r="G300" s="126"/>
    </row>
    <row r="301">
      <c r="C301" s="125"/>
      <c r="F301" s="125"/>
      <c r="G301" s="126"/>
    </row>
    <row r="302">
      <c r="C302" s="125"/>
      <c r="F302" s="125"/>
      <c r="G302" s="126"/>
    </row>
    <row r="303">
      <c r="C303" s="125"/>
      <c r="F303" s="125"/>
      <c r="G303" s="126"/>
    </row>
    <row r="304">
      <c r="C304" s="125"/>
      <c r="F304" s="125"/>
      <c r="G304" s="126"/>
    </row>
    <row r="305">
      <c r="C305" s="125"/>
      <c r="F305" s="125"/>
      <c r="G305" s="126"/>
    </row>
    <row r="306">
      <c r="C306" s="125"/>
      <c r="F306" s="125"/>
      <c r="G306" s="126"/>
    </row>
    <row r="307">
      <c r="C307" s="125"/>
      <c r="F307" s="125"/>
      <c r="G307" s="126"/>
    </row>
    <row r="308">
      <c r="C308" s="125"/>
      <c r="F308" s="125"/>
      <c r="G308" s="126"/>
    </row>
    <row r="309">
      <c r="C309" s="125"/>
      <c r="F309" s="125"/>
      <c r="G309" s="126"/>
    </row>
    <row r="310">
      <c r="C310" s="125"/>
      <c r="F310" s="125"/>
      <c r="G310" s="126"/>
    </row>
    <row r="311">
      <c r="C311" s="125"/>
      <c r="F311" s="125"/>
      <c r="G311" s="126"/>
    </row>
    <row r="312">
      <c r="C312" s="125"/>
      <c r="F312" s="125"/>
      <c r="G312" s="126"/>
    </row>
    <row r="313">
      <c r="C313" s="125"/>
      <c r="F313" s="125"/>
      <c r="G313" s="126"/>
    </row>
    <row r="314">
      <c r="C314" s="125"/>
      <c r="F314" s="125"/>
      <c r="G314" s="126"/>
    </row>
    <row r="315">
      <c r="C315" s="125"/>
      <c r="F315" s="125"/>
      <c r="G315" s="126"/>
    </row>
    <row r="316">
      <c r="C316" s="125"/>
      <c r="F316" s="125"/>
      <c r="G316" s="126"/>
    </row>
    <row r="317">
      <c r="C317" s="125"/>
      <c r="F317" s="125"/>
      <c r="G317" s="126"/>
    </row>
    <row r="318">
      <c r="C318" s="125"/>
      <c r="F318" s="125"/>
      <c r="G318" s="126"/>
    </row>
    <row r="319">
      <c r="C319" s="125"/>
      <c r="F319" s="125"/>
      <c r="G319" s="126"/>
    </row>
    <row r="320">
      <c r="C320" s="125"/>
      <c r="F320" s="125"/>
      <c r="G320" s="126"/>
    </row>
    <row r="321">
      <c r="C321" s="125"/>
      <c r="F321" s="125"/>
      <c r="G321" s="126"/>
    </row>
    <row r="322">
      <c r="C322" s="125"/>
      <c r="F322" s="125"/>
      <c r="G322" s="126"/>
    </row>
    <row r="323">
      <c r="C323" s="125"/>
      <c r="F323" s="125"/>
      <c r="G323" s="126"/>
    </row>
    <row r="324">
      <c r="C324" s="125"/>
      <c r="F324" s="125"/>
      <c r="G324" s="126"/>
    </row>
    <row r="325">
      <c r="C325" s="125"/>
      <c r="F325" s="125"/>
      <c r="G325" s="126"/>
    </row>
    <row r="326">
      <c r="C326" s="125"/>
      <c r="F326" s="125"/>
      <c r="G326" s="126"/>
    </row>
    <row r="327">
      <c r="C327" s="125"/>
      <c r="F327" s="125"/>
      <c r="G327" s="126"/>
    </row>
    <row r="328">
      <c r="C328" s="125"/>
      <c r="F328" s="125"/>
      <c r="G328" s="126"/>
    </row>
    <row r="329">
      <c r="C329" s="125"/>
      <c r="F329" s="125"/>
      <c r="G329" s="126"/>
    </row>
    <row r="330">
      <c r="C330" s="125"/>
      <c r="F330" s="125"/>
      <c r="G330" s="126"/>
    </row>
    <row r="331">
      <c r="C331" s="125"/>
      <c r="F331" s="125"/>
      <c r="G331" s="126"/>
    </row>
    <row r="332">
      <c r="C332" s="125"/>
      <c r="F332" s="125"/>
      <c r="G332" s="126"/>
    </row>
    <row r="333">
      <c r="C333" s="125"/>
      <c r="F333" s="125"/>
      <c r="G333" s="126"/>
    </row>
    <row r="334">
      <c r="C334" s="125"/>
      <c r="F334" s="125"/>
      <c r="G334" s="126"/>
    </row>
    <row r="335">
      <c r="C335" s="125"/>
      <c r="F335" s="125"/>
      <c r="G335" s="126"/>
    </row>
    <row r="336">
      <c r="C336" s="125"/>
      <c r="F336" s="125"/>
      <c r="G336" s="126"/>
    </row>
    <row r="337">
      <c r="C337" s="125"/>
      <c r="F337" s="125"/>
      <c r="G337" s="126"/>
    </row>
    <row r="338">
      <c r="C338" s="125"/>
      <c r="F338" s="125"/>
      <c r="G338" s="126"/>
    </row>
    <row r="339">
      <c r="C339" s="125"/>
      <c r="F339" s="125"/>
      <c r="G339" s="126"/>
    </row>
    <row r="340">
      <c r="C340" s="125"/>
      <c r="F340" s="125"/>
      <c r="G340" s="126"/>
    </row>
    <row r="341">
      <c r="C341" s="125"/>
      <c r="F341" s="125"/>
      <c r="G341" s="126"/>
    </row>
    <row r="342">
      <c r="C342" s="125"/>
      <c r="F342" s="125"/>
      <c r="G342" s="126"/>
    </row>
    <row r="343">
      <c r="C343" s="125"/>
      <c r="F343" s="125"/>
      <c r="G343" s="126"/>
    </row>
    <row r="344">
      <c r="C344" s="125"/>
      <c r="F344" s="125"/>
      <c r="G344" s="126"/>
    </row>
    <row r="345">
      <c r="C345" s="125"/>
      <c r="F345" s="125"/>
      <c r="G345" s="126"/>
    </row>
    <row r="346">
      <c r="C346" s="125"/>
      <c r="F346" s="125"/>
      <c r="G346" s="126"/>
    </row>
    <row r="347">
      <c r="C347" s="125"/>
      <c r="F347" s="125"/>
      <c r="G347" s="126"/>
    </row>
    <row r="348">
      <c r="C348" s="125"/>
      <c r="F348" s="125"/>
      <c r="G348" s="126"/>
    </row>
    <row r="349">
      <c r="C349" s="125"/>
      <c r="F349" s="125"/>
      <c r="G349" s="126"/>
    </row>
    <row r="350">
      <c r="C350" s="125"/>
      <c r="F350" s="125"/>
      <c r="G350" s="126"/>
    </row>
    <row r="351">
      <c r="C351" s="125"/>
      <c r="F351" s="125"/>
      <c r="G351" s="126"/>
    </row>
    <row r="352">
      <c r="C352" s="125"/>
      <c r="F352" s="125"/>
      <c r="G352" s="126"/>
    </row>
    <row r="353">
      <c r="C353" s="125"/>
      <c r="F353" s="125"/>
      <c r="G353" s="126"/>
    </row>
    <row r="354">
      <c r="C354" s="125"/>
      <c r="F354" s="125"/>
      <c r="G354" s="126"/>
    </row>
    <row r="355">
      <c r="C355" s="125"/>
      <c r="F355" s="125"/>
      <c r="G355" s="126"/>
    </row>
    <row r="356">
      <c r="C356" s="125"/>
      <c r="F356" s="125"/>
      <c r="G356" s="126"/>
    </row>
    <row r="357">
      <c r="C357" s="125"/>
      <c r="F357" s="125"/>
      <c r="G357" s="126"/>
    </row>
    <row r="358">
      <c r="C358" s="125"/>
      <c r="F358" s="125"/>
      <c r="G358" s="126"/>
    </row>
    <row r="359">
      <c r="C359" s="125"/>
      <c r="F359" s="125"/>
      <c r="G359" s="126"/>
    </row>
    <row r="360">
      <c r="C360" s="125"/>
      <c r="F360" s="125"/>
      <c r="G360" s="126"/>
    </row>
    <row r="361">
      <c r="C361" s="125"/>
      <c r="F361" s="125"/>
      <c r="G361" s="126"/>
    </row>
    <row r="362">
      <c r="C362" s="125"/>
      <c r="F362" s="125"/>
      <c r="G362" s="126"/>
    </row>
    <row r="363">
      <c r="C363" s="125"/>
      <c r="F363" s="125"/>
      <c r="G363" s="126"/>
    </row>
    <row r="364">
      <c r="C364" s="125"/>
      <c r="F364" s="125"/>
      <c r="G364" s="126"/>
    </row>
    <row r="365">
      <c r="C365" s="125"/>
      <c r="F365" s="125"/>
      <c r="G365" s="126"/>
    </row>
    <row r="366">
      <c r="C366" s="125"/>
      <c r="F366" s="125"/>
      <c r="G366" s="126"/>
    </row>
    <row r="367">
      <c r="C367" s="125"/>
      <c r="F367" s="125"/>
      <c r="G367" s="126"/>
    </row>
    <row r="368">
      <c r="C368" s="125"/>
      <c r="F368" s="125"/>
      <c r="G368" s="126"/>
    </row>
    <row r="369">
      <c r="C369" s="125"/>
      <c r="F369" s="125"/>
      <c r="G369" s="126"/>
    </row>
    <row r="370">
      <c r="C370" s="125"/>
      <c r="F370" s="125"/>
      <c r="G370" s="126"/>
    </row>
    <row r="371">
      <c r="C371" s="125"/>
      <c r="F371" s="125"/>
      <c r="G371" s="126"/>
    </row>
    <row r="372">
      <c r="C372" s="125"/>
      <c r="F372" s="125"/>
      <c r="G372" s="126"/>
    </row>
    <row r="373">
      <c r="C373" s="125"/>
      <c r="F373" s="125"/>
      <c r="G373" s="126"/>
    </row>
    <row r="374">
      <c r="C374" s="125"/>
      <c r="F374" s="125"/>
      <c r="G374" s="126"/>
    </row>
    <row r="375">
      <c r="C375" s="125"/>
      <c r="F375" s="125"/>
      <c r="G375" s="126"/>
    </row>
    <row r="376">
      <c r="C376" s="125"/>
      <c r="F376" s="125"/>
      <c r="G376" s="126"/>
    </row>
    <row r="377">
      <c r="C377" s="125"/>
      <c r="F377" s="125"/>
      <c r="G377" s="126"/>
    </row>
    <row r="378">
      <c r="C378" s="125"/>
      <c r="F378" s="125"/>
      <c r="G378" s="126"/>
    </row>
    <row r="379">
      <c r="C379" s="125"/>
      <c r="F379" s="125"/>
      <c r="G379" s="126"/>
    </row>
    <row r="380">
      <c r="C380" s="125"/>
      <c r="F380" s="125"/>
      <c r="G380" s="126"/>
    </row>
    <row r="381">
      <c r="C381" s="125"/>
      <c r="F381" s="125"/>
      <c r="G381" s="126"/>
    </row>
    <row r="382">
      <c r="C382" s="125"/>
      <c r="F382" s="125"/>
      <c r="G382" s="126"/>
    </row>
    <row r="383">
      <c r="C383" s="125"/>
      <c r="F383" s="125"/>
      <c r="G383" s="126"/>
    </row>
    <row r="384">
      <c r="C384" s="125"/>
      <c r="F384" s="125"/>
      <c r="G384" s="126"/>
    </row>
    <row r="385">
      <c r="C385" s="125"/>
      <c r="F385" s="125"/>
      <c r="G385" s="126"/>
    </row>
    <row r="386">
      <c r="C386" s="125"/>
      <c r="F386" s="125"/>
      <c r="G386" s="126"/>
    </row>
    <row r="387">
      <c r="C387" s="125"/>
      <c r="F387" s="125"/>
      <c r="G387" s="126"/>
    </row>
    <row r="388">
      <c r="C388" s="125"/>
      <c r="F388" s="125"/>
      <c r="G388" s="126"/>
    </row>
    <row r="389">
      <c r="C389" s="125"/>
      <c r="F389" s="125"/>
      <c r="G389" s="126"/>
    </row>
    <row r="390">
      <c r="C390" s="125"/>
      <c r="F390" s="125"/>
      <c r="G390" s="126"/>
    </row>
    <row r="391">
      <c r="C391" s="125"/>
      <c r="F391" s="125"/>
      <c r="G391" s="126"/>
    </row>
    <row r="392">
      <c r="C392" s="125"/>
      <c r="F392" s="125"/>
      <c r="G392" s="126"/>
    </row>
    <row r="393">
      <c r="C393" s="125"/>
      <c r="F393" s="125"/>
      <c r="G393" s="126"/>
    </row>
    <row r="394">
      <c r="C394" s="125"/>
      <c r="F394" s="125"/>
      <c r="G394" s="126"/>
    </row>
    <row r="395">
      <c r="C395" s="125"/>
      <c r="F395" s="125"/>
      <c r="G395" s="126"/>
    </row>
    <row r="396">
      <c r="C396" s="125"/>
      <c r="F396" s="125"/>
      <c r="G396" s="126"/>
    </row>
    <row r="397">
      <c r="C397" s="125"/>
      <c r="F397" s="125"/>
      <c r="G397" s="126"/>
    </row>
    <row r="398">
      <c r="C398" s="125"/>
      <c r="F398" s="125"/>
      <c r="G398" s="126"/>
    </row>
    <row r="399">
      <c r="C399" s="125"/>
      <c r="F399" s="125"/>
      <c r="G399" s="126"/>
    </row>
    <row r="400">
      <c r="C400" s="125"/>
      <c r="F400" s="125"/>
      <c r="G400" s="126"/>
    </row>
    <row r="401">
      <c r="C401" s="125"/>
      <c r="F401" s="125"/>
      <c r="G401" s="126"/>
    </row>
    <row r="402">
      <c r="C402" s="125"/>
      <c r="F402" s="125"/>
      <c r="G402" s="126"/>
    </row>
    <row r="403">
      <c r="C403" s="125"/>
      <c r="F403" s="125"/>
      <c r="G403" s="126"/>
    </row>
    <row r="404">
      <c r="C404" s="125"/>
      <c r="F404" s="125"/>
      <c r="G404" s="126"/>
    </row>
    <row r="405">
      <c r="C405" s="125"/>
      <c r="F405" s="125"/>
      <c r="G405" s="126"/>
    </row>
    <row r="406">
      <c r="C406" s="125"/>
      <c r="F406" s="125"/>
      <c r="G406" s="126"/>
    </row>
    <row r="407">
      <c r="C407" s="125"/>
      <c r="F407" s="125"/>
      <c r="G407" s="126"/>
    </row>
    <row r="408">
      <c r="C408" s="125"/>
      <c r="F408" s="125"/>
      <c r="G408" s="126"/>
    </row>
    <row r="409">
      <c r="C409" s="125"/>
      <c r="F409" s="125"/>
      <c r="G409" s="126"/>
    </row>
    <row r="410">
      <c r="C410" s="125"/>
      <c r="F410" s="125"/>
      <c r="G410" s="126"/>
    </row>
    <row r="411">
      <c r="C411" s="125"/>
      <c r="F411" s="125"/>
      <c r="G411" s="126"/>
    </row>
    <row r="412">
      <c r="C412" s="125"/>
      <c r="F412" s="125"/>
      <c r="G412" s="126"/>
    </row>
    <row r="413">
      <c r="C413" s="125"/>
      <c r="F413" s="125"/>
      <c r="G413" s="126"/>
    </row>
    <row r="414">
      <c r="C414" s="125"/>
      <c r="F414" s="125"/>
      <c r="G414" s="126"/>
    </row>
    <row r="415">
      <c r="C415" s="125"/>
      <c r="F415" s="125"/>
      <c r="G415" s="126"/>
    </row>
    <row r="416">
      <c r="C416" s="125"/>
      <c r="F416" s="125"/>
      <c r="G416" s="126"/>
    </row>
    <row r="417">
      <c r="C417" s="125"/>
      <c r="F417" s="125"/>
      <c r="G417" s="126"/>
    </row>
    <row r="418">
      <c r="C418" s="125"/>
      <c r="F418" s="125"/>
      <c r="G418" s="126"/>
    </row>
    <row r="419">
      <c r="C419" s="125"/>
      <c r="F419" s="125"/>
      <c r="G419" s="126"/>
    </row>
    <row r="420">
      <c r="C420" s="125"/>
      <c r="F420" s="125"/>
      <c r="G420" s="126"/>
    </row>
    <row r="421">
      <c r="C421" s="125"/>
      <c r="F421" s="125"/>
      <c r="G421" s="126"/>
    </row>
    <row r="422">
      <c r="C422" s="125"/>
      <c r="F422" s="125"/>
      <c r="G422" s="126"/>
    </row>
    <row r="423">
      <c r="C423" s="125"/>
      <c r="F423" s="125"/>
      <c r="G423" s="126"/>
    </row>
    <row r="424">
      <c r="C424" s="125"/>
      <c r="F424" s="125"/>
      <c r="G424" s="126"/>
    </row>
    <row r="425">
      <c r="C425" s="125"/>
      <c r="F425" s="125"/>
      <c r="G425" s="126"/>
    </row>
    <row r="426">
      <c r="C426" s="125"/>
      <c r="F426" s="125"/>
      <c r="G426" s="126"/>
    </row>
    <row r="427">
      <c r="C427" s="125"/>
      <c r="F427" s="125"/>
      <c r="G427" s="126"/>
    </row>
    <row r="428">
      <c r="C428" s="125"/>
      <c r="F428" s="125"/>
      <c r="G428" s="126"/>
    </row>
    <row r="429">
      <c r="C429" s="125"/>
      <c r="F429" s="125"/>
      <c r="G429" s="126"/>
    </row>
    <row r="430">
      <c r="C430" s="125"/>
      <c r="F430" s="125"/>
      <c r="G430" s="126"/>
    </row>
    <row r="431">
      <c r="C431" s="125"/>
      <c r="F431" s="125"/>
      <c r="G431" s="126"/>
    </row>
    <row r="432">
      <c r="C432" s="125"/>
      <c r="F432" s="125"/>
      <c r="G432" s="126"/>
    </row>
    <row r="433">
      <c r="C433" s="125"/>
      <c r="F433" s="125"/>
      <c r="G433" s="126"/>
    </row>
    <row r="434">
      <c r="C434" s="125"/>
      <c r="F434" s="125"/>
      <c r="G434" s="126"/>
    </row>
    <row r="435">
      <c r="C435" s="125"/>
      <c r="F435" s="125"/>
      <c r="G435" s="126"/>
    </row>
    <row r="436">
      <c r="C436" s="125"/>
      <c r="F436" s="125"/>
      <c r="G436" s="126"/>
    </row>
    <row r="437">
      <c r="C437" s="125"/>
      <c r="F437" s="125"/>
      <c r="G437" s="126"/>
    </row>
    <row r="438">
      <c r="C438" s="125"/>
      <c r="F438" s="125"/>
      <c r="G438" s="126"/>
    </row>
    <row r="439">
      <c r="C439" s="125"/>
      <c r="F439" s="125"/>
      <c r="G439" s="126"/>
    </row>
    <row r="440">
      <c r="C440" s="125"/>
      <c r="F440" s="125"/>
      <c r="G440" s="126"/>
    </row>
    <row r="441">
      <c r="C441" s="125"/>
      <c r="F441" s="125"/>
      <c r="G441" s="126"/>
    </row>
    <row r="442">
      <c r="C442" s="125"/>
      <c r="F442" s="125"/>
      <c r="G442" s="126"/>
    </row>
    <row r="443">
      <c r="C443" s="125"/>
      <c r="F443" s="125"/>
      <c r="G443" s="126"/>
    </row>
    <row r="444">
      <c r="C444" s="125"/>
      <c r="F444" s="125"/>
      <c r="G444" s="126"/>
    </row>
    <row r="445">
      <c r="C445" s="125"/>
      <c r="F445" s="125"/>
      <c r="G445" s="126"/>
    </row>
    <row r="446">
      <c r="C446" s="125"/>
      <c r="F446" s="125"/>
      <c r="G446" s="126"/>
    </row>
    <row r="447">
      <c r="C447" s="125"/>
      <c r="F447" s="125"/>
      <c r="G447" s="126"/>
    </row>
    <row r="448">
      <c r="C448" s="125"/>
      <c r="F448" s="125"/>
      <c r="G448" s="126"/>
    </row>
    <row r="449">
      <c r="C449" s="125"/>
      <c r="F449" s="125"/>
      <c r="G449" s="126"/>
    </row>
    <row r="450">
      <c r="C450" s="125"/>
      <c r="F450" s="125"/>
      <c r="G450" s="126"/>
    </row>
    <row r="451">
      <c r="C451" s="125"/>
      <c r="F451" s="125"/>
      <c r="G451" s="126"/>
    </row>
    <row r="452">
      <c r="C452" s="125"/>
      <c r="F452" s="125"/>
      <c r="G452" s="126"/>
    </row>
    <row r="453">
      <c r="C453" s="125"/>
      <c r="F453" s="125"/>
      <c r="G453" s="126"/>
    </row>
    <row r="454">
      <c r="C454" s="125"/>
      <c r="F454" s="125"/>
      <c r="G454" s="126"/>
    </row>
    <row r="455">
      <c r="C455" s="125"/>
      <c r="F455" s="125"/>
      <c r="G455" s="126"/>
    </row>
    <row r="456">
      <c r="C456" s="125"/>
      <c r="F456" s="125"/>
      <c r="G456" s="126"/>
    </row>
    <row r="457">
      <c r="C457" s="125"/>
      <c r="F457" s="125"/>
      <c r="G457" s="126"/>
    </row>
    <row r="458">
      <c r="C458" s="125"/>
      <c r="F458" s="125"/>
      <c r="G458" s="126"/>
    </row>
    <row r="459">
      <c r="C459" s="125"/>
      <c r="F459" s="125"/>
      <c r="G459" s="126"/>
    </row>
    <row r="460">
      <c r="C460" s="125"/>
      <c r="F460" s="125"/>
      <c r="G460" s="126"/>
    </row>
    <row r="461">
      <c r="C461" s="125"/>
      <c r="F461" s="125"/>
      <c r="G461" s="126"/>
    </row>
    <row r="462">
      <c r="C462" s="125"/>
      <c r="F462" s="125"/>
      <c r="G462" s="126"/>
    </row>
    <row r="463">
      <c r="C463" s="125"/>
      <c r="F463" s="125"/>
      <c r="G463" s="126"/>
    </row>
    <row r="464">
      <c r="C464" s="125"/>
      <c r="F464" s="125"/>
      <c r="G464" s="126"/>
    </row>
    <row r="465">
      <c r="C465" s="125"/>
      <c r="F465" s="125"/>
      <c r="G465" s="126"/>
    </row>
    <row r="466">
      <c r="C466" s="125"/>
      <c r="F466" s="125"/>
      <c r="G466" s="126"/>
    </row>
    <row r="467">
      <c r="C467" s="125"/>
      <c r="F467" s="125"/>
      <c r="G467" s="126"/>
    </row>
    <row r="468">
      <c r="C468" s="125"/>
      <c r="F468" s="125"/>
      <c r="G468" s="126"/>
    </row>
    <row r="469">
      <c r="C469" s="125"/>
      <c r="F469" s="125"/>
      <c r="G469" s="126"/>
    </row>
    <row r="470">
      <c r="C470" s="125"/>
      <c r="F470" s="125"/>
      <c r="G470" s="126"/>
    </row>
    <row r="471">
      <c r="C471" s="125"/>
      <c r="F471" s="125"/>
      <c r="G471" s="126"/>
    </row>
    <row r="472">
      <c r="C472" s="125"/>
      <c r="F472" s="125"/>
      <c r="G472" s="126"/>
    </row>
    <row r="473">
      <c r="C473" s="125"/>
      <c r="F473" s="125"/>
      <c r="G473" s="126"/>
    </row>
    <row r="474">
      <c r="C474" s="125"/>
      <c r="F474" s="125"/>
      <c r="G474" s="126"/>
    </row>
    <row r="475">
      <c r="C475" s="125"/>
      <c r="F475" s="125"/>
      <c r="G475" s="126"/>
    </row>
    <row r="476">
      <c r="C476" s="125"/>
      <c r="F476" s="125"/>
      <c r="G476" s="126"/>
    </row>
    <row r="477">
      <c r="C477" s="125"/>
      <c r="F477" s="125"/>
      <c r="G477" s="126"/>
    </row>
    <row r="478">
      <c r="C478" s="125"/>
      <c r="F478" s="125"/>
      <c r="G478" s="126"/>
    </row>
    <row r="479">
      <c r="C479" s="125"/>
      <c r="F479" s="125"/>
      <c r="G479" s="126"/>
    </row>
    <row r="480">
      <c r="C480" s="125"/>
      <c r="F480" s="125"/>
      <c r="G480" s="126"/>
    </row>
    <row r="481">
      <c r="C481" s="125"/>
      <c r="F481" s="125"/>
      <c r="G481" s="126"/>
    </row>
    <row r="482">
      <c r="C482" s="125"/>
      <c r="F482" s="125"/>
      <c r="G482" s="126"/>
    </row>
    <row r="483">
      <c r="C483" s="125"/>
      <c r="F483" s="125"/>
      <c r="G483" s="126"/>
    </row>
    <row r="484">
      <c r="C484" s="125"/>
      <c r="F484" s="125"/>
      <c r="G484" s="126"/>
    </row>
    <row r="485">
      <c r="C485" s="125"/>
      <c r="F485" s="125"/>
      <c r="G485" s="126"/>
    </row>
    <row r="486">
      <c r="C486" s="125"/>
      <c r="F486" s="125"/>
      <c r="G486" s="126"/>
    </row>
    <row r="487">
      <c r="C487" s="125"/>
      <c r="F487" s="125"/>
      <c r="G487" s="126"/>
    </row>
    <row r="488">
      <c r="C488" s="125"/>
      <c r="F488" s="125"/>
      <c r="G488" s="126"/>
    </row>
    <row r="489">
      <c r="C489" s="125"/>
      <c r="F489" s="125"/>
      <c r="G489" s="126"/>
    </row>
    <row r="490">
      <c r="C490" s="125"/>
      <c r="F490" s="125"/>
      <c r="G490" s="126"/>
    </row>
    <row r="491">
      <c r="C491" s="125"/>
      <c r="F491" s="125"/>
      <c r="G491" s="126"/>
    </row>
    <row r="492">
      <c r="C492" s="125"/>
      <c r="F492" s="125"/>
      <c r="G492" s="126"/>
    </row>
    <row r="493">
      <c r="C493" s="125"/>
      <c r="F493" s="125"/>
      <c r="G493" s="126"/>
    </row>
    <row r="494">
      <c r="C494" s="125"/>
      <c r="F494" s="125"/>
      <c r="G494" s="126"/>
    </row>
    <row r="495">
      <c r="C495" s="125"/>
      <c r="F495" s="125"/>
      <c r="G495" s="126"/>
    </row>
    <row r="496">
      <c r="C496" s="125"/>
      <c r="F496" s="125"/>
      <c r="G496" s="126"/>
    </row>
    <row r="497">
      <c r="C497" s="125"/>
      <c r="F497" s="125"/>
      <c r="G497" s="126"/>
    </row>
    <row r="498">
      <c r="C498" s="125"/>
      <c r="F498" s="125"/>
      <c r="G498" s="126"/>
    </row>
    <row r="499">
      <c r="C499" s="125"/>
      <c r="F499" s="125"/>
      <c r="G499" s="126"/>
    </row>
    <row r="500">
      <c r="C500" s="125"/>
      <c r="F500" s="125"/>
      <c r="G500" s="126"/>
    </row>
    <row r="501">
      <c r="C501" s="125"/>
      <c r="F501" s="125"/>
      <c r="G501" s="126"/>
    </row>
    <row r="502">
      <c r="C502" s="125"/>
      <c r="F502" s="125"/>
      <c r="G502" s="126"/>
    </row>
    <row r="503">
      <c r="C503" s="125"/>
      <c r="F503" s="125"/>
      <c r="G503" s="126"/>
    </row>
    <row r="504">
      <c r="C504" s="125"/>
      <c r="F504" s="125"/>
      <c r="G504" s="126"/>
    </row>
    <row r="505">
      <c r="C505" s="125"/>
      <c r="F505" s="125"/>
      <c r="G505" s="126"/>
    </row>
    <row r="506">
      <c r="C506" s="125"/>
      <c r="F506" s="125"/>
      <c r="G506" s="126"/>
    </row>
    <row r="507">
      <c r="C507" s="125"/>
      <c r="F507" s="125"/>
      <c r="G507" s="126"/>
    </row>
    <row r="508">
      <c r="C508" s="125"/>
      <c r="F508" s="125"/>
      <c r="G508" s="126"/>
    </row>
    <row r="509">
      <c r="C509" s="125"/>
      <c r="F509" s="125"/>
      <c r="G509" s="126"/>
    </row>
    <row r="510">
      <c r="C510" s="125"/>
      <c r="F510" s="125"/>
      <c r="G510" s="126"/>
    </row>
    <row r="511">
      <c r="C511" s="125"/>
      <c r="F511" s="125"/>
      <c r="G511" s="126"/>
    </row>
    <row r="512">
      <c r="C512" s="125"/>
      <c r="F512" s="125"/>
      <c r="G512" s="126"/>
    </row>
    <row r="513">
      <c r="C513" s="125"/>
      <c r="F513" s="125"/>
      <c r="G513" s="126"/>
    </row>
    <row r="514">
      <c r="C514" s="125"/>
      <c r="F514" s="125"/>
      <c r="G514" s="126"/>
    </row>
    <row r="515">
      <c r="C515" s="125"/>
      <c r="F515" s="125"/>
      <c r="G515" s="126"/>
    </row>
    <row r="516">
      <c r="C516" s="125"/>
      <c r="F516" s="125"/>
      <c r="G516" s="126"/>
    </row>
    <row r="517">
      <c r="C517" s="125"/>
      <c r="F517" s="125"/>
      <c r="G517" s="126"/>
    </row>
    <row r="518">
      <c r="C518" s="125"/>
      <c r="F518" s="125"/>
      <c r="G518" s="126"/>
    </row>
    <row r="519">
      <c r="C519" s="125"/>
      <c r="F519" s="125"/>
      <c r="G519" s="126"/>
    </row>
    <row r="520">
      <c r="C520" s="125"/>
      <c r="F520" s="125"/>
      <c r="G520" s="126"/>
    </row>
    <row r="521">
      <c r="C521" s="125"/>
      <c r="F521" s="125"/>
      <c r="G521" s="126"/>
    </row>
    <row r="522">
      <c r="C522" s="125"/>
      <c r="F522" s="125"/>
      <c r="G522" s="126"/>
    </row>
    <row r="523">
      <c r="C523" s="125"/>
      <c r="F523" s="125"/>
      <c r="G523" s="126"/>
    </row>
    <row r="524">
      <c r="C524" s="125"/>
      <c r="F524" s="125"/>
      <c r="G524" s="126"/>
    </row>
    <row r="525">
      <c r="C525" s="125"/>
      <c r="F525" s="125"/>
      <c r="G525" s="126"/>
    </row>
    <row r="526">
      <c r="C526" s="125"/>
      <c r="F526" s="125"/>
      <c r="G526" s="126"/>
    </row>
    <row r="527">
      <c r="C527" s="125"/>
      <c r="F527" s="125"/>
      <c r="G527" s="126"/>
    </row>
    <row r="528">
      <c r="C528" s="125"/>
      <c r="F528" s="125"/>
      <c r="G528" s="126"/>
    </row>
    <row r="529">
      <c r="C529" s="125"/>
      <c r="F529" s="125"/>
      <c r="G529" s="126"/>
    </row>
    <row r="530">
      <c r="C530" s="125"/>
      <c r="F530" s="125"/>
      <c r="G530" s="126"/>
    </row>
    <row r="531">
      <c r="C531" s="125"/>
      <c r="F531" s="125"/>
      <c r="G531" s="126"/>
    </row>
    <row r="532">
      <c r="C532" s="125"/>
      <c r="F532" s="125"/>
      <c r="G532" s="126"/>
    </row>
    <row r="533">
      <c r="C533" s="125"/>
      <c r="F533" s="125"/>
      <c r="G533" s="126"/>
    </row>
    <row r="534">
      <c r="C534" s="125"/>
      <c r="F534" s="125"/>
      <c r="G534" s="126"/>
    </row>
    <row r="535">
      <c r="C535" s="125"/>
      <c r="F535" s="125"/>
      <c r="G535" s="126"/>
    </row>
    <row r="536">
      <c r="C536" s="125"/>
      <c r="F536" s="125"/>
      <c r="G536" s="126"/>
    </row>
    <row r="537">
      <c r="C537" s="125"/>
      <c r="F537" s="125"/>
      <c r="G537" s="126"/>
    </row>
    <row r="538">
      <c r="C538" s="125"/>
      <c r="F538" s="125"/>
      <c r="G538" s="126"/>
    </row>
    <row r="539">
      <c r="C539" s="125"/>
      <c r="F539" s="125"/>
      <c r="G539" s="126"/>
    </row>
    <row r="540">
      <c r="C540" s="125"/>
      <c r="F540" s="125"/>
      <c r="G540" s="126"/>
    </row>
    <row r="541">
      <c r="C541" s="125"/>
      <c r="F541" s="125"/>
      <c r="G541" s="126"/>
    </row>
    <row r="542">
      <c r="C542" s="125"/>
      <c r="F542" s="125"/>
      <c r="G542" s="126"/>
    </row>
    <row r="543">
      <c r="C543" s="125"/>
      <c r="F543" s="125"/>
      <c r="G543" s="126"/>
    </row>
    <row r="544">
      <c r="C544" s="125"/>
      <c r="F544" s="125"/>
      <c r="G544" s="126"/>
    </row>
    <row r="545">
      <c r="C545" s="125"/>
      <c r="F545" s="125"/>
      <c r="G545" s="126"/>
    </row>
    <row r="546">
      <c r="C546" s="125"/>
      <c r="F546" s="125"/>
      <c r="G546" s="126"/>
    </row>
    <row r="547">
      <c r="C547" s="125"/>
      <c r="F547" s="125"/>
      <c r="G547" s="126"/>
    </row>
    <row r="548">
      <c r="C548" s="125"/>
      <c r="F548" s="125"/>
      <c r="G548" s="126"/>
    </row>
    <row r="549">
      <c r="C549" s="125"/>
      <c r="F549" s="125"/>
      <c r="G549" s="126"/>
    </row>
    <row r="550">
      <c r="C550" s="125"/>
      <c r="F550" s="125"/>
      <c r="G550" s="126"/>
    </row>
    <row r="551">
      <c r="C551" s="125"/>
      <c r="F551" s="125"/>
      <c r="G551" s="126"/>
    </row>
    <row r="552">
      <c r="C552" s="125"/>
      <c r="F552" s="125"/>
      <c r="G552" s="126"/>
    </row>
    <row r="553">
      <c r="C553" s="125"/>
      <c r="F553" s="125"/>
      <c r="G553" s="126"/>
    </row>
    <row r="554">
      <c r="C554" s="125"/>
      <c r="F554" s="125"/>
      <c r="G554" s="126"/>
    </row>
    <row r="555">
      <c r="C555" s="125"/>
      <c r="F555" s="125"/>
      <c r="G555" s="126"/>
    </row>
    <row r="556">
      <c r="C556" s="125"/>
      <c r="F556" s="125"/>
      <c r="G556" s="126"/>
    </row>
    <row r="557">
      <c r="C557" s="125"/>
      <c r="F557" s="125"/>
      <c r="G557" s="126"/>
    </row>
    <row r="558">
      <c r="C558" s="125"/>
      <c r="F558" s="125"/>
      <c r="G558" s="126"/>
    </row>
    <row r="559">
      <c r="C559" s="125"/>
      <c r="F559" s="125"/>
      <c r="G559" s="126"/>
    </row>
    <row r="560">
      <c r="C560" s="125"/>
      <c r="F560" s="125"/>
      <c r="G560" s="126"/>
    </row>
    <row r="561">
      <c r="C561" s="125"/>
      <c r="F561" s="125"/>
      <c r="G561" s="126"/>
    </row>
    <row r="562">
      <c r="C562" s="125"/>
      <c r="F562" s="125"/>
      <c r="G562" s="126"/>
    </row>
    <row r="563">
      <c r="C563" s="125"/>
      <c r="F563" s="125"/>
      <c r="G563" s="126"/>
    </row>
    <row r="564">
      <c r="C564" s="125"/>
      <c r="F564" s="125"/>
      <c r="G564" s="126"/>
    </row>
    <row r="565">
      <c r="C565" s="125"/>
      <c r="F565" s="125"/>
      <c r="G565" s="126"/>
    </row>
    <row r="566">
      <c r="C566" s="125"/>
      <c r="F566" s="125"/>
      <c r="G566" s="126"/>
    </row>
    <row r="567">
      <c r="C567" s="125"/>
      <c r="F567" s="125"/>
      <c r="G567" s="126"/>
    </row>
    <row r="568">
      <c r="C568" s="125"/>
      <c r="F568" s="125"/>
      <c r="G568" s="126"/>
    </row>
    <row r="569">
      <c r="C569" s="125"/>
      <c r="F569" s="125"/>
      <c r="G569" s="126"/>
    </row>
    <row r="570">
      <c r="C570" s="125"/>
      <c r="F570" s="125"/>
      <c r="G570" s="126"/>
    </row>
    <row r="571">
      <c r="C571" s="125"/>
      <c r="F571" s="125"/>
      <c r="G571" s="126"/>
    </row>
    <row r="572">
      <c r="C572" s="125"/>
      <c r="F572" s="125"/>
      <c r="G572" s="126"/>
    </row>
    <row r="573">
      <c r="C573" s="125"/>
      <c r="F573" s="125"/>
      <c r="G573" s="126"/>
    </row>
    <row r="574">
      <c r="C574" s="125"/>
      <c r="F574" s="125"/>
      <c r="G574" s="126"/>
    </row>
    <row r="575">
      <c r="C575" s="125"/>
      <c r="F575" s="125"/>
      <c r="G575" s="126"/>
    </row>
    <row r="576">
      <c r="C576" s="125"/>
      <c r="F576" s="125"/>
      <c r="G576" s="126"/>
    </row>
    <row r="577">
      <c r="C577" s="125"/>
      <c r="F577" s="125"/>
      <c r="G577" s="126"/>
    </row>
    <row r="578">
      <c r="C578" s="125"/>
      <c r="F578" s="125"/>
      <c r="G578" s="126"/>
    </row>
    <row r="579">
      <c r="C579" s="125"/>
      <c r="F579" s="125"/>
      <c r="G579" s="126"/>
    </row>
    <row r="580">
      <c r="C580" s="125"/>
      <c r="F580" s="125"/>
      <c r="G580" s="126"/>
    </row>
    <row r="581">
      <c r="C581" s="125"/>
      <c r="F581" s="125"/>
      <c r="G581" s="126"/>
    </row>
    <row r="582">
      <c r="C582" s="125"/>
      <c r="F582" s="125"/>
      <c r="G582" s="126"/>
    </row>
    <row r="583">
      <c r="C583" s="125"/>
      <c r="F583" s="125"/>
      <c r="G583" s="126"/>
    </row>
    <row r="584">
      <c r="C584" s="125"/>
      <c r="F584" s="125"/>
      <c r="G584" s="126"/>
    </row>
    <row r="585">
      <c r="C585" s="125"/>
      <c r="F585" s="125"/>
      <c r="G585" s="126"/>
    </row>
    <row r="586">
      <c r="C586" s="125"/>
      <c r="F586" s="125"/>
      <c r="G586" s="126"/>
    </row>
    <row r="587">
      <c r="C587" s="125"/>
      <c r="F587" s="125"/>
      <c r="G587" s="126"/>
    </row>
    <row r="588">
      <c r="C588" s="125"/>
      <c r="F588" s="125"/>
      <c r="G588" s="126"/>
    </row>
    <row r="589">
      <c r="C589" s="125"/>
      <c r="F589" s="125"/>
      <c r="G589" s="126"/>
    </row>
    <row r="590">
      <c r="C590" s="125"/>
      <c r="F590" s="125"/>
      <c r="G590" s="126"/>
    </row>
    <row r="591">
      <c r="C591" s="125"/>
      <c r="F591" s="125"/>
      <c r="G591" s="126"/>
    </row>
    <row r="592">
      <c r="C592" s="125"/>
      <c r="F592" s="125"/>
      <c r="G592" s="126"/>
    </row>
    <row r="593">
      <c r="C593" s="125"/>
      <c r="F593" s="125"/>
      <c r="G593" s="126"/>
    </row>
    <row r="594">
      <c r="C594" s="125"/>
      <c r="F594" s="125"/>
      <c r="G594" s="126"/>
    </row>
    <row r="595">
      <c r="C595" s="125"/>
      <c r="F595" s="125"/>
      <c r="G595" s="126"/>
    </row>
    <row r="596">
      <c r="C596" s="125"/>
      <c r="F596" s="125"/>
      <c r="G596" s="126"/>
    </row>
    <row r="597">
      <c r="C597" s="125"/>
      <c r="F597" s="125"/>
      <c r="G597" s="126"/>
    </row>
    <row r="598">
      <c r="C598" s="125"/>
      <c r="F598" s="125"/>
      <c r="G598" s="126"/>
    </row>
    <row r="599">
      <c r="C599" s="125"/>
      <c r="F599" s="125"/>
      <c r="G599" s="126"/>
    </row>
    <row r="600">
      <c r="C600" s="125"/>
      <c r="F600" s="125"/>
      <c r="G600" s="126"/>
    </row>
    <row r="601">
      <c r="C601" s="125"/>
      <c r="F601" s="125"/>
      <c r="G601" s="126"/>
    </row>
    <row r="602">
      <c r="C602" s="125"/>
      <c r="F602" s="125"/>
      <c r="G602" s="126"/>
    </row>
    <row r="603">
      <c r="C603" s="125"/>
      <c r="F603" s="125"/>
      <c r="G603" s="126"/>
    </row>
    <row r="604">
      <c r="C604" s="125"/>
      <c r="F604" s="125"/>
      <c r="G604" s="126"/>
    </row>
    <row r="605">
      <c r="C605" s="125"/>
      <c r="F605" s="125"/>
      <c r="G605" s="126"/>
    </row>
    <row r="606">
      <c r="C606" s="125"/>
      <c r="F606" s="125"/>
      <c r="G606" s="126"/>
    </row>
    <row r="607">
      <c r="C607" s="125"/>
      <c r="F607" s="125"/>
      <c r="G607" s="126"/>
    </row>
    <row r="608">
      <c r="C608" s="125"/>
      <c r="F608" s="125"/>
      <c r="G608" s="126"/>
    </row>
    <row r="609">
      <c r="C609" s="125"/>
      <c r="F609" s="125"/>
      <c r="G609" s="126"/>
    </row>
    <row r="610">
      <c r="C610" s="125"/>
      <c r="F610" s="125"/>
      <c r="G610" s="126"/>
    </row>
    <row r="611">
      <c r="C611" s="125"/>
      <c r="F611" s="125"/>
      <c r="G611" s="126"/>
    </row>
    <row r="612">
      <c r="C612" s="125"/>
      <c r="F612" s="125"/>
      <c r="G612" s="126"/>
    </row>
    <row r="613">
      <c r="C613" s="125"/>
      <c r="F613" s="125"/>
      <c r="G613" s="126"/>
    </row>
    <row r="614">
      <c r="C614" s="125"/>
      <c r="F614" s="125"/>
      <c r="G614" s="126"/>
    </row>
    <row r="615">
      <c r="C615" s="125"/>
      <c r="F615" s="125"/>
      <c r="G615" s="126"/>
    </row>
    <row r="616">
      <c r="C616" s="125"/>
      <c r="F616" s="125"/>
      <c r="G616" s="126"/>
    </row>
    <row r="617">
      <c r="C617" s="125"/>
      <c r="F617" s="125"/>
      <c r="G617" s="126"/>
    </row>
    <row r="618">
      <c r="C618" s="125"/>
      <c r="F618" s="125"/>
      <c r="G618" s="126"/>
    </row>
    <row r="619">
      <c r="C619" s="125"/>
      <c r="F619" s="125"/>
      <c r="G619" s="126"/>
    </row>
    <row r="620">
      <c r="C620" s="125"/>
      <c r="F620" s="125"/>
      <c r="G620" s="126"/>
    </row>
    <row r="621">
      <c r="C621" s="125"/>
      <c r="F621" s="125"/>
      <c r="G621" s="126"/>
    </row>
    <row r="622">
      <c r="C622" s="125"/>
      <c r="F622" s="125"/>
      <c r="G622" s="126"/>
    </row>
    <row r="623">
      <c r="C623" s="125"/>
      <c r="F623" s="125"/>
      <c r="G623" s="126"/>
    </row>
    <row r="624">
      <c r="C624" s="125"/>
      <c r="F624" s="125"/>
      <c r="G624" s="126"/>
    </row>
    <row r="625">
      <c r="C625" s="125"/>
      <c r="F625" s="125"/>
      <c r="G625" s="126"/>
    </row>
    <row r="626">
      <c r="C626" s="125"/>
      <c r="F626" s="125"/>
      <c r="G626" s="126"/>
    </row>
    <row r="627">
      <c r="C627" s="125"/>
      <c r="F627" s="125"/>
      <c r="G627" s="126"/>
    </row>
    <row r="628">
      <c r="C628" s="125"/>
      <c r="F628" s="125"/>
      <c r="G628" s="126"/>
    </row>
    <row r="629">
      <c r="C629" s="125"/>
      <c r="F629" s="125"/>
      <c r="G629" s="126"/>
    </row>
    <row r="630">
      <c r="C630" s="125"/>
      <c r="F630" s="125"/>
      <c r="G630" s="126"/>
    </row>
    <row r="631">
      <c r="C631" s="125"/>
      <c r="F631" s="125"/>
      <c r="G631" s="126"/>
    </row>
    <row r="632">
      <c r="C632" s="125"/>
      <c r="F632" s="125"/>
      <c r="G632" s="126"/>
    </row>
    <row r="633">
      <c r="C633" s="125"/>
      <c r="F633" s="125"/>
      <c r="G633" s="126"/>
    </row>
    <row r="634">
      <c r="C634" s="125"/>
      <c r="F634" s="125"/>
      <c r="G634" s="126"/>
    </row>
    <row r="635">
      <c r="C635" s="125"/>
      <c r="F635" s="125"/>
      <c r="G635" s="126"/>
    </row>
    <row r="636">
      <c r="C636" s="125"/>
      <c r="F636" s="125"/>
      <c r="G636" s="126"/>
    </row>
    <row r="637">
      <c r="C637" s="125"/>
      <c r="F637" s="125"/>
      <c r="G637" s="126"/>
    </row>
    <row r="638">
      <c r="C638" s="125"/>
      <c r="F638" s="125"/>
      <c r="G638" s="126"/>
    </row>
    <row r="639">
      <c r="C639" s="125"/>
      <c r="F639" s="125"/>
      <c r="G639" s="126"/>
    </row>
    <row r="640">
      <c r="C640" s="125"/>
      <c r="F640" s="125"/>
      <c r="G640" s="126"/>
    </row>
    <row r="641">
      <c r="C641" s="125"/>
      <c r="F641" s="125"/>
      <c r="G641" s="126"/>
    </row>
    <row r="642">
      <c r="C642" s="125"/>
      <c r="F642" s="125"/>
      <c r="G642" s="126"/>
    </row>
    <row r="643">
      <c r="C643" s="125"/>
      <c r="F643" s="125"/>
      <c r="G643" s="126"/>
    </row>
    <row r="644">
      <c r="C644" s="125"/>
      <c r="F644" s="125"/>
      <c r="G644" s="126"/>
    </row>
    <row r="645">
      <c r="C645" s="125"/>
      <c r="F645" s="125"/>
      <c r="G645" s="126"/>
    </row>
    <row r="646">
      <c r="C646" s="125"/>
      <c r="F646" s="125"/>
      <c r="G646" s="126"/>
    </row>
    <row r="647">
      <c r="C647" s="125"/>
      <c r="F647" s="125"/>
      <c r="G647" s="126"/>
    </row>
    <row r="648">
      <c r="C648" s="125"/>
      <c r="F648" s="125"/>
      <c r="G648" s="126"/>
    </row>
    <row r="649">
      <c r="C649" s="125"/>
      <c r="F649" s="125"/>
      <c r="G649" s="126"/>
    </row>
    <row r="650">
      <c r="C650" s="125"/>
      <c r="F650" s="125"/>
      <c r="G650" s="126"/>
    </row>
    <row r="651">
      <c r="C651" s="125"/>
      <c r="F651" s="125"/>
      <c r="G651" s="126"/>
    </row>
    <row r="652">
      <c r="C652" s="125"/>
      <c r="F652" s="125"/>
      <c r="G652" s="126"/>
    </row>
    <row r="653">
      <c r="C653" s="125"/>
      <c r="F653" s="125"/>
      <c r="G653" s="126"/>
    </row>
    <row r="654">
      <c r="C654" s="125"/>
      <c r="F654" s="125"/>
      <c r="G654" s="126"/>
    </row>
    <row r="655">
      <c r="C655" s="125"/>
      <c r="F655" s="125"/>
      <c r="G655" s="126"/>
    </row>
    <row r="656">
      <c r="C656" s="125"/>
      <c r="F656" s="125"/>
      <c r="G656" s="126"/>
    </row>
    <row r="657">
      <c r="C657" s="125"/>
      <c r="F657" s="125"/>
      <c r="G657" s="126"/>
    </row>
    <row r="658">
      <c r="C658" s="125"/>
      <c r="F658" s="125"/>
      <c r="G658" s="126"/>
    </row>
    <row r="659">
      <c r="C659" s="125"/>
      <c r="F659" s="125"/>
      <c r="G659" s="126"/>
    </row>
    <row r="660">
      <c r="C660" s="125"/>
      <c r="F660" s="125"/>
      <c r="G660" s="126"/>
    </row>
    <row r="661">
      <c r="C661" s="125"/>
      <c r="F661" s="125"/>
      <c r="G661" s="126"/>
    </row>
    <row r="662">
      <c r="C662" s="125"/>
      <c r="F662" s="125"/>
      <c r="G662" s="126"/>
    </row>
    <row r="663">
      <c r="C663" s="125"/>
      <c r="F663" s="125"/>
      <c r="G663" s="126"/>
    </row>
    <row r="664">
      <c r="C664" s="125"/>
      <c r="F664" s="125"/>
      <c r="G664" s="126"/>
    </row>
    <row r="665">
      <c r="C665" s="125"/>
      <c r="F665" s="125"/>
      <c r="G665" s="126"/>
    </row>
    <row r="666">
      <c r="C666" s="125"/>
      <c r="F666" s="125"/>
      <c r="G666" s="126"/>
    </row>
    <row r="667">
      <c r="C667" s="125"/>
      <c r="F667" s="125"/>
      <c r="G667" s="126"/>
    </row>
    <row r="668">
      <c r="C668" s="125"/>
      <c r="F668" s="125"/>
      <c r="G668" s="126"/>
    </row>
    <row r="669">
      <c r="C669" s="125"/>
      <c r="F669" s="125"/>
      <c r="G669" s="126"/>
    </row>
    <row r="670">
      <c r="C670" s="125"/>
      <c r="F670" s="125"/>
      <c r="G670" s="126"/>
    </row>
    <row r="671">
      <c r="C671" s="125"/>
      <c r="F671" s="125"/>
      <c r="G671" s="126"/>
    </row>
    <row r="672">
      <c r="C672" s="125"/>
      <c r="F672" s="125"/>
      <c r="G672" s="126"/>
    </row>
    <row r="673">
      <c r="C673" s="125"/>
      <c r="F673" s="125"/>
      <c r="G673" s="126"/>
    </row>
    <row r="674">
      <c r="C674" s="125"/>
      <c r="F674" s="125"/>
      <c r="G674" s="126"/>
    </row>
    <row r="675">
      <c r="C675" s="125"/>
      <c r="F675" s="125"/>
      <c r="G675" s="126"/>
    </row>
    <row r="676">
      <c r="C676" s="125"/>
      <c r="F676" s="125"/>
      <c r="G676" s="126"/>
    </row>
    <row r="677">
      <c r="C677" s="125"/>
      <c r="F677" s="125"/>
      <c r="G677" s="126"/>
    </row>
    <row r="678">
      <c r="C678" s="125"/>
      <c r="F678" s="125"/>
      <c r="G678" s="126"/>
    </row>
    <row r="679">
      <c r="C679" s="125"/>
      <c r="F679" s="125"/>
      <c r="G679" s="126"/>
    </row>
    <row r="680">
      <c r="C680" s="125"/>
      <c r="F680" s="125"/>
      <c r="G680" s="126"/>
    </row>
    <row r="681">
      <c r="C681" s="125"/>
      <c r="F681" s="125"/>
      <c r="G681" s="126"/>
    </row>
    <row r="682">
      <c r="C682" s="125"/>
      <c r="F682" s="125"/>
      <c r="G682" s="126"/>
    </row>
    <row r="683">
      <c r="C683" s="125"/>
      <c r="F683" s="125"/>
      <c r="G683" s="126"/>
    </row>
    <row r="684">
      <c r="C684" s="125"/>
      <c r="F684" s="125"/>
      <c r="G684" s="126"/>
    </row>
    <row r="685">
      <c r="C685" s="125"/>
      <c r="F685" s="125"/>
      <c r="G685" s="126"/>
    </row>
    <row r="686">
      <c r="C686" s="125"/>
      <c r="F686" s="125"/>
      <c r="G686" s="126"/>
    </row>
    <row r="687">
      <c r="C687" s="125"/>
      <c r="F687" s="125"/>
      <c r="G687" s="126"/>
    </row>
    <row r="688">
      <c r="C688" s="125"/>
      <c r="F688" s="125"/>
      <c r="G688" s="126"/>
    </row>
    <row r="689">
      <c r="C689" s="125"/>
      <c r="F689" s="125"/>
      <c r="G689" s="126"/>
    </row>
    <row r="690">
      <c r="C690" s="125"/>
      <c r="F690" s="125"/>
      <c r="G690" s="126"/>
    </row>
    <row r="691">
      <c r="C691" s="125"/>
      <c r="F691" s="125"/>
      <c r="G691" s="126"/>
    </row>
    <row r="692">
      <c r="C692" s="125"/>
      <c r="F692" s="125"/>
      <c r="G692" s="126"/>
    </row>
    <row r="693">
      <c r="C693" s="125"/>
      <c r="F693" s="125"/>
      <c r="G693" s="126"/>
    </row>
    <row r="694">
      <c r="C694" s="125"/>
      <c r="F694" s="125"/>
      <c r="G694" s="126"/>
    </row>
    <row r="695">
      <c r="C695" s="125"/>
      <c r="F695" s="125"/>
      <c r="G695" s="126"/>
    </row>
    <row r="696">
      <c r="C696" s="125"/>
      <c r="F696" s="125"/>
      <c r="G696" s="126"/>
    </row>
    <row r="697">
      <c r="C697" s="125"/>
      <c r="F697" s="125"/>
      <c r="G697" s="126"/>
    </row>
    <row r="698">
      <c r="C698" s="125"/>
      <c r="F698" s="125"/>
      <c r="G698" s="126"/>
    </row>
    <row r="699">
      <c r="C699" s="125"/>
      <c r="F699" s="125"/>
      <c r="G699" s="126"/>
    </row>
    <row r="700">
      <c r="C700" s="125"/>
      <c r="F700" s="125"/>
      <c r="G700" s="126"/>
    </row>
    <row r="701">
      <c r="C701" s="125"/>
      <c r="F701" s="125"/>
      <c r="G701" s="126"/>
    </row>
    <row r="702">
      <c r="C702" s="125"/>
      <c r="F702" s="125"/>
      <c r="G702" s="126"/>
    </row>
    <row r="703">
      <c r="C703" s="125"/>
      <c r="F703" s="125"/>
      <c r="G703" s="126"/>
    </row>
    <row r="704">
      <c r="C704" s="125"/>
      <c r="F704" s="125"/>
      <c r="G704" s="126"/>
    </row>
    <row r="705">
      <c r="C705" s="125"/>
      <c r="F705" s="125"/>
      <c r="G705" s="126"/>
    </row>
    <row r="706">
      <c r="C706" s="125"/>
      <c r="F706" s="125"/>
      <c r="G706" s="126"/>
    </row>
    <row r="707">
      <c r="C707" s="125"/>
      <c r="F707" s="125"/>
      <c r="G707" s="126"/>
    </row>
    <row r="708">
      <c r="C708" s="125"/>
      <c r="F708" s="125"/>
      <c r="G708" s="126"/>
    </row>
    <row r="709">
      <c r="C709" s="125"/>
      <c r="F709" s="125"/>
      <c r="G709" s="126"/>
    </row>
    <row r="710">
      <c r="C710" s="125"/>
      <c r="F710" s="125"/>
      <c r="G710" s="126"/>
    </row>
    <row r="711">
      <c r="C711" s="125"/>
      <c r="F711" s="125"/>
      <c r="G711" s="126"/>
    </row>
    <row r="712">
      <c r="C712" s="125"/>
      <c r="F712" s="125"/>
      <c r="G712" s="126"/>
    </row>
    <row r="713">
      <c r="C713" s="125"/>
      <c r="F713" s="125"/>
      <c r="G713" s="126"/>
    </row>
    <row r="714">
      <c r="C714" s="125"/>
      <c r="F714" s="125"/>
      <c r="G714" s="126"/>
    </row>
    <row r="715">
      <c r="C715" s="125"/>
      <c r="F715" s="125"/>
      <c r="G715" s="126"/>
    </row>
    <row r="716">
      <c r="C716" s="125"/>
      <c r="F716" s="125"/>
      <c r="G716" s="126"/>
    </row>
    <row r="717">
      <c r="C717" s="125"/>
      <c r="F717" s="125"/>
      <c r="G717" s="126"/>
    </row>
    <row r="718">
      <c r="C718" s="125"/>
      <c r="F718" s="125"/>
      <c r="G718" s="126"/>
    </row>
    <row r="719">
      <c r="C719" s="125"/>
      <c r="F719" s="125"/>
      <c r="G719" s="126"/>
    </row>
    <row r="720">
      <c r="C720" s="125"/>
      <c r="F720" s="125"/>
      <c r="G720" s="126"/>
    </row>
    <row r="721">
      <c r="C721" s="125"/>
      <c r="F721" s="125"/>
      <c r="G721" s="126"/>
    </row>
    <row r="722">
      <c r="C722" s="125"/>
      <c r="F722" s="125"/>
      <c r="G722" s="126"/>
    </row>
    <row r="723">
      <c r="C723" s="125"/>
      <c r="F723" s="125"/>
      <c r="G723" s="126"/>
    </row>
    <row r="724">
      <c r="C724" s="125"/>
      <c r="F724" s="125"/>
      <c r="G724" s="126"/>
    </row>
    <row r="725">
      <c r="C725" s="125"/>
      <c r="F725" s="125"/>
      <c r="G725" s="126"/>
    </row>
    <row r="726">
      <c r="C726" s="125"/>
      <c r="F726" s="125"/>
      <c r="G726" s="126"/>
    </row>
    <row r="727">
      <c r="C727" s="125"/>
      <c r="F727" s="125"/>
      <c r="G727" s="126"/>
    </row>
    <row r="728">
      <c r="C728" s="125"/>
      <c r="F728" s="125"/>
      <c r="G728" s="126"/>
    </row>
    <row r="729">
      <c r="C729" s="125"/>
      <c r="F729" s="125"/>
      <c r="G729" s="126"/>
    </row>
    <row r="730">
      <c r="C730" s="125"/>
      <c r="F730" s="125"/>
      <c r="G730" s="126"/>
    </row>
    <row r="731">
      <c r="C731" s="125"/>
      <c r="F731" s="125"/>
      <c r="G731" s="126"/>
    </row>
    <row r="732">
      <c r="C732" s="125"/>
      <c r="F732" s="125"/>
      <c r="G732" s="126"/>
    </row>
    <row r="733">
      <c r="C733" s="125"/>
      <c r="F733" s="125"/>
      <c r="G733" s="126"/>
    </row>
    <row r="734">
      <c r="C734" s="125"/>
      <c r="F734" s="125"/>
      <c r="G734" s="126"/>
    </row>
    <row r="735">
      <c r="C735" s="125"/>
      <c r="F735" s="125"/>
      <c r="G735" s="126"/>
    </row>
    <row r="736">
      <c r="C736" s="125"/>
      <c r="F736" s="125"/>
      <c r="G736" s="126"/>
    </row>
    <row r="737">
      <c r="C737" s="125"/>
      <c r="F737" s="125"/>
      <c r="G737" s="126"/>
    </row>
    <row r="738">
      <c r="C738" s="125"/>
      <c r="F738" s="125"/>
      <c r="G738" s="126"/>
    </row>
    <row r="739">
      <c r="C739" s="125"/>
      <c r="F739" s="125"/>
      <c r="G739" s="126"/>
    </row>
    <row r="740">
      <c r="C740" s="125"/>
      <c r="F740" s="125"/>
      <c r="G740" s="126"/>
    </row>
    <row r="741">
      <c r="C741" s="125"/>
      <c r="F741" s="125"/>
      <c r="G741" s="126"/>
    </row>
    <row r="742">
      <c r="C742" s="125"/>
      <c r="F742" s="125"/>
      <c r="G742" s="126"/>
    </row>
    <row r="743">
      <c r="C743" s="125"/>
      <c r="F743" s="125"/>
      <c r="G743" s="126"/>
    </row>
    <row r="744">
      <c r="C744" s="125"/>
      <c r="F744" s="125"/>
      <c r="G744" s="126"/>
    </row>
    <row r="745">
      <c r="C745" s="125"/>
      <c r="F745" s="125"/>
      <c r="G745" s="126"/>
    </row>
    <row r="746">
      <c r="C746" s="125"/>
      <c r="F746" s="125"/>
      <c r="G746" s="126"/>
    </row>
    <row r="747">
      <c r="C747" s="125"/>
      <c r="F747" s="125"/>
      <c r="G747" s="126"/>
    </row>
    <row r="748">
      <c r="C748" s="125"/>
      <c r="F748" s="125"/>
      <c r="G748" s="126"/>
    </row>
    <row r="749">
      <c r="C749" s="125"/>
      <c r="F749" s="125"/>
      <c r="G749" s="126"/>
    </row>
    <row r="750">
      <c r="C750" s="125"/>
      <c r="F750" s="125"/>
      <c r="G750" s="126"/>
    </row>
    <row r="751">
      <c r="C751" s="125"/>
      <c r="F751" s="125"/>
      <c r="G751" s="126"/>
    </row>
    <row r="752">
      <c r="C752" s="125"/>
      <c r="F752" s="125"/>
      <c r="G752" s="126"/>
    </row>
    <row r="753">
      <c r="C753" s="125"/>
      <c r="F753" s="125"/>
      <c r="G753" s="126"/>
    </row>
    <row r="754">
      <c r="C754" s="125"/>
      <c r="F754" s="125"/>
      <c r="G754" s="126"/>
    </row>
    <row r="755">
      <c r="C755" s="125"/>
      <c r="F755" s="125"/>
      <c r="G755" s="126"/>
    </row>
    <row r="756">
      <c r="C756" s="125"/>
      <c r="F756" s="125"/>
      <c r="G756" s="126"/>
    </row>
    <row r="757">
      <c r="C757" s="125"/>
      <c r="F757" s="125"/>
      <c r="G757" s="126"/>
    </row>
    <row r="758">
      <c r="C758" s="125"/>
      <c r="F758" s="125"/>
      <c r="G758" s="126"/>
    </row>
    <row r="759">
      <c r="C759" s="125"/>
      <c r="F759" s="125"/>
      <c r="G759" s="126"/>
    </row>
    <row r="760">
      <c r="C760" s="125"/>
      <c r="F760" s="125"/>
      <c r="G760" s="126"/>
    </row>
    <row r="761">
      <c r="C761" s="125"/>
      <c r="F761" s="125"/>
      <c r="G761" s="126"/>
    </row>
    <row r="762">
      <c r="C762" s="125"/>
      <c r="F762" s="125"/>
      <c r="G762" s="126"/>
    </row>
    <row r="763">
      <c r="C763" s="125"/>
      <c r="F763" s="125"/>
      <c r="G763" s="126"/>
    </row>
    <row r="764">
      <c r="C764" s="125"/>
      <c r="F764" s="125"/>
      <c r="G764" s="126"/>
    </row>
    <row r="765">
      <c r="C765" s="125"/>
      <c r="F765" s="125"/>
      <c r="G765" s="126"/>
    </row>
    <row r="766">
      <c r="C766" s="125"/>
      <c r="F766" s="125"/>
      <c r="G766" s="126"/>
    </row>
    <row r="767">
      <c r="C767" s="125"/>
      <c r="F767" s="125"/>
      <c r="G767" s="126"/>
    </row>
    <row r="768">
      <c r="C768" s="125"/>
      <c r="F768" s="125"/>
      <c r="G768" s="126"/>
    </row>
    <row r="769">
      <c r="C769" s="125"/>
      <c r="F769" s="125"/>
      <c r="G769" s="126"/>
    </row>
    <row r="770">
      <c r="C770" s="125"/>
      <c r="F770" s="125"/>
      <c r="G770" s="126"/>
    </row>
    <row r="771">
      <c r="C771" s="125"/>
      <c r="F771" s="125"/>
      <c r="G771" s="126"/>
    </row>
    <row r="772">
      <c r="C772" s="125"/>
      <c r="F772" s="125"/>
      <c r="G772" s="126"/>
    </row>
    <row r="773">
      <c r="C773" s="125"/>
      <c r="F773" s="125"/>
      <c r="G773" s="126"/>
    </row>
    <row r="774">
      <c r="C774" s="125"/>
      <c r="F774" s="125"/>
      <c r="G774" s="126"/>
    </row>
    <row r="775">
      <c r="C775" s="125"/>
      <c r="F775" s="125"/>
      <c r="G775" s="126"/>
    </row>
    <row r="776">
      <c r="C776" s="125"/>
      <c r="F776" s="125"/>
      <c r="G776" s="126"/>
    </row>
    <row r="777">
      <c r="C777" s="125"/>
      <c r="F777" s="125"/>
      <c r="G777" s="126"/>
    </row>
    <row r="778">
      <c r="C778" s="125"/>
      <c r="F778" s="125"/>
      <c r="G778" s="126"/>
    </row>
    <row r="779">
      <c r="C779" s="125"/>
      <c r="F779" s="125"/>
      <c r="G779" s="126"/>
    </row>
    <row r="780">
      <c r="C780" s="125"/>
      <c r="F780" s="125"/>
      <c r="G780" s="126"/>
    </row>
    <row r="781">
      <c r="C781" s="125"/>
      <c r="F781" s="125"/>
      <c r="G781" s="126"/>
    </row>
    <row r="782">
      <c r="C782" s="125"/>
      <c r="F782" s="125"/>
      <c r="G782" s="126"/>
    </row>
    <row r="783">
      <c r="C783" s="125"/>
      <c r="F783" s="125"/>
      <c r="G783" s="126"/>
    </row>
    <row r="784">
      <c r="C784" s="125"/>
      <c r="F784" s="125"/>
      <c r="G784" s="126"/>
    </row>
    <row r="785">
      <c r="C785" s="125"/>
      <c r="F785" s="125"/>
      <c r="G785" s="126"/>
    </row>
    <row r="786">
      <c r="C786" s="125"/>
      <c r="F786" s="125"/>
      <c r="G786" s="126"/>
    </row>
    <row r="787">
      <c r="C787" s="125"/>
      <c r="F787" s="125"/>
      <c r="G787" s="126"/>
    </row>
    <row r="788">
      <c r="C788" s="125"/>
      <c r="F788" s="125"/>
      <c r="G788" s="126"/>
    </row>
    <row r="789">
      <c r="C789" s="125"/>
      <c r="F789" s="125"/>
      <c r="G789" s="126"/>
    </row>
    <row r="790">
      <c r="C790" s="125"/>
      <c r="F790" s="125"/>
      <c r="G790" s="126"/>
    </row>
    <row r="791">
      <c r="C791" s="125"/>
      <c r="F791" s="125"/>
      <c r="G791" s="126"/>
    </row>
    <row r="792">
      <c r="C792" s="125"/>
      <c r="F792" s="125"/>
      <c r="G792" s="126"/>
    </row>
    <row r="793">
      <c r="C793" s="125"/>
      <c r="F793" s="125"/>
      <c r="G793" s="126"/>
    </row>
    <row r="794">
      <c r="C794" s="125"/>
      <c r="F794" s="125"/>
      <c r="G794" s="126"/>
    </row>
    <row r="795">
      <c r="C795" s="125"/>
      <c r="F795" s="125"/>
      <c r="G795" s="126"/>
    </row>
    <row r="796">
      <c r="C796" s="125"/>
      <c r="F796" s="125"/>
      <c r="G796" s="126"/>
    </row>
    <row r="797">
      <c r="C797" s="125"/>
      <c r="F797" s="125"/>
      <c r="G797" s="126"/>
    </row>
    <row r="798">
      <c r="C798" s="125"/>
      <c r="F798" s="125"/>
      <c r="G798" s="126"/>
    </row>
    <row r="799">
      <c r="C799" s="125"/>
      <c r="F799" s="125"/>
      <c r="G799" s="126"/>
    </row>
    <row r="800">
      <c r="C800" s="125"/>
      <c r="F800" s="125"/>
      <c r="G800" s="126"/>
    </row>
    <row r="801">
      <c r="C801" s="125"/>
      <c r="F801" s="125"/>
      <c r="G801" s="126"/>
    </row>
    <row r="802">
      <c r="C802" s="125"/>
      <c r="F802" s="125"/>
      <c r="G802" s="126"/>
    </row>
    <row r="803">
      <c r="C803" s="125"/>
      <c r="F803" s="125"/>
      <c r="G803" s="126"/>
    </row>
    <row r="804">
      <c r="C804" s="125"/>
      <c r="F804" s="125"/>
      <c r="G804" s="126"/>
    </row>
    <row r="805">
      <c r="C805" s="125"/>
      <c r="F805" s="125"/>
      <c r="G805" s="126"/>
    </row>
    <row r="806">
      <c r="C806" s="125"/>
      <c r="F806" s="125"/>
      <c r="G806" s="126"/>
    </row>
    <row r="807">
      <c r="C807" s="125"/>
      <c r="F807" s="125"/>
      <c r="G807" s="126"/>
    </row>
    <row r="808">
      <c r="C808" s="125"/>
      <c r="F808" s="125"/>
      <c r="G808" s="126"/>
    </row>
    <row r="809">
      <c r="C809" s="125"/>
      <c r="F809" s="125"/>
      <c r="G809" s="126"/>
    </row>
    <row r="810">
      <c r="C810" s="125"/>
      <c r="F810" s="125"/>
      <c r="G810" s="126"/>
    </row>
    <row r="811">
      <c r="C811" s="125"/>
      <c r="F811" s="125"/>
      <c r="G811" s="126"/>
    </row>
    <row r="812">
      <c r="C812" s="125"/>
      <c r="F812" s="125"/>
      <c r="G812" s="126"/>
    </row>
    <row r="813">
      <c r="C813" s="125"/>
      <c r="F813" s="125"/>
      <c r="G813" s="126"/>
    </row>
    <row r="814">
      <c r="C814" s="125"/>
      <c r="F814" s="125"/>
      <c r="G814" s="126"/>
    </row>
    <row r="815">
      <c r="C815" s="125"/>
      <c r="F815" s="125"/>
      <c r="G815" s="126"/>
    </row>
    <row r="816">
      <c r="C816" s="125"/>
      <c r="F816" s="125"/>
      <c r="G816" s="126"/>
    </row>
    <row r="817">
      <c r="C817" s="125"/>
      <c r="F817" s="125"/>
      <c r="G817" s="126"/>
    </row>
    <row r="818">
      <c r="C818" s="125"/>
      <c r="F818" s="125"/>
      <c r="G818" s="126"/>
    </row>
    <row r="819">
      <c r="C819" s="125"/>
      <c r="F819" s="125"/>
      <c r="G819" s="126"/>
    </row>
    <row r="820">
      <c r="C820" s="125"/>
      <c r="F820" s="125"/>
      <c r="G820" s="126"/>
    </row>
    <row r="821">
      <c r="C821" s="125"/>
      <c r="F821" s="125"/>
      <c r="G821" s="126"/>
    </row>
    <row r="822">
      <c r="C822" s="125"/>
      <c r="F822" s="125"/>
      <c r="G822" s="126"/>
    </row>
    <row r="823">
      <c r="C823" s="125"/>
      <c r="F823" s="125"/>
      <c r="G823" s="126"/>
    </row>
    <row r="824">
      <c r="C824" s="125"/>
      <c r="F824" s="125"/>
      <c r="G824" s="126"/>
    </row>
    <row r="825">
      <c r="C825" s="125"/>
      <c r="F825" s="125"/>
      <c r="G825" s="126"/>
    </row>
    <row r="826">
      <c r="C826" s="125"/>
      <c r="F826" s="125"/>
      <c r="G826" s="126"/>
    </row>
    <row r="827">
      <c r="C827" s="125"/>
      <c r="F827" s="125"/>
      <c r="G827" s="126"/>
    </row>
    <row r="828">
      <c r="C828" s="125"/>
      <c r="F828" s="125"/>
      <c r="G828" s="126"/>
    </row>
    <row r="829">
      <c r="C829" s="125"/>
      <c r="F829" s="125"/>
      <c r="G829" s="126"/>
    </row>
    <row r="830">
      <c r="C830" s="125"/>
      <c r="F830" s="125"/>
      <c r="G830" s="126"/>
    </row>
    <row r="831">
      <c r="C831" s="125"/>
      <c r="F831" s="125"/>
      <c r="G831" s="126"/>
    </row>
    <row r="832">
      <c r="C832" s="125"/>
      <c r="F832" s="125"/>
      <c r="G832" s="126"/>
    </row>
    <row r="833">
      <c r="C833" s="125"/>
      <c r="F833" s="125"/>
      <c r="G833" s="126"/>
    </row>
    <row r="834">
      <c r="C834" s="125"/>
      <c r="F834" s="125"/>
      <c r="G834" s="126"/>
    </row>
    <row r="835">
      <c r="C835" s="125"/>
      <c r="F835" s="125"/>
      <c r="G835" s="126"/>
    </row>
    <row r="836">
      <c r="C836" s="125"/>
      <c r="F836" s="125"/>
      <c r="G836" s="126"/>
    </row>
    <row r="837">
      <c r="C837" s="125"/>
      <c r="F837" s="125"/>
      <c r="G837" s="126"/>
    </row>
    <row r="838">
      <c r="C838" s="125"/>
      <c r="F838" s="125"/>
      <c r="G838" s="126"/>
    </row>
    <row r="839">
      <c r="C839" s="125"/>
      <c r="F839" s="125"/>
      <c r="G839" s="126"/>
    </row>
    <row r="840">
      <c r="C840" s="125"/>
      <c r="F840" s="125"/>
      <c r="G840" s="126"/>
    </row>
    <row r="841">
      <c r="C841" s="125"/>
      <c r="F841" s="125"/>
      <c r="G841" s="126"/>
    </row>
    <row r="842">
      <c r="C842" s="125"/>
      <c r="F842" s="125"/>
      <c r="G842" s="126"/>
    </row>
    <row r="843">
      <c r="C843" s="125"/>
      <c r="F843" s="125"/>
      <c r="G843" s="126"/>
    </row>
    <row r="844">
      <c r="C844" s="125"/>
      <c r="F844" s="125"/>
      <c r="G844" s="126"/>
    </row>
    <row r="845">
      <c r="C845" s="125"/>
      <c r="F845" s="125"/>
      <c r="G845" s="126"/>
    </row>
    <row r="846">
      <c r="C846" s="125"/>
      <c r="F846" s="125"/>
      <c r="G846" s="126"/>
    </row>
    <row r="847">
      <c r="C847" s="125"/>
      <c r="F847" s="125"/>
      <c r="G847" s="126"/>
    </row>
    <row r="848">
      <c r="C848" s="125"/>
      <c r="F848" s="125"/>
      <c r="G848" s="126"/>
    </row>
    <row r="849">
      <c r="C849" s="125"/>
      <c r="F849" s="125"/>
      <c r="G849" s="126"/>
    </row>
    <row r="850">
      <c r="C850" s="125"/>
      <c r="F850" s="125"/>
      <c r="G850" s="126"/>
    </row>
    <row r="851">
      <c r="C851" s="125"/>
      <c r="F851" s="125"/>
      <c r="G851" s="126"/>
    </row>
    <row r="852">
      <c r="C852" s="125"/>
      <c r="F852" s="125"/>
      <c r="G852" s="126"/>
    </row>
    <row r="853">
      <c r="C853" s="125"/>
      <c r="F853" s="125"/>
      <c r="G853" s="126"/>
    </row>
    <row r="854">
      <c r="C854" s="125"/>
      <c r="F854" s="125"/>
      <c r="G854" s="126"/>
    </row>
    <row r="855">
      <c r="C855" s="125"/>
      <c r="F855" s="125"/>
      <c r="G855" s="126"/>
    </row>
    <row r="856">
      <c r="C856" s="125"/>
      <c r="F856" s="125"/>
      <c r="G856" s="126"/>
    </row>
    <row r="857">
      <c r="C857" s="125"/>
      <c r="F857" s="125"/>
      <c r="G857" s="126"/>
    </row>
    <row r="858">
      <c r="C858" s="125"/>
      <c r="F858" s="125"/>
      <c r="G858" s="126"/>
    </row>
    <row r="859">
      <c r="C859" s="125"/>
      <c r="F859" s="125"/>
      <c r="G859" s="126"/>
    </row>
    <row r="860">
      <c r="C860" s="125"/>
      <c r="F860" s="125"/>
      <c r="G860" s="126"/>
    </row>
    <row r="861">
      <c r="C861" s="125"/>
      <c r="F861" s="125"/>
      <c r="G861" s="126"/>
    </row>
    <row r="862">
      <c r="C862" s="125"/>
      <c r="F862" s="125"/>
      <c r="G862" s="126"/>
    </row>
    <row r="863">
      <c r="C863" s="125"/>
      <c r="F863" s="125"/>
      <c r="G863" s="126"/>
    </row>
    <row r="864">
      <c r="C864" s="125"/>
      <c r="F864" s="125"/>
      <c r="G864" s="126"/>
    </row>
    <row r="865">
      <c r="C865" s="125"/>
      <c r="F865" s="125"/>
      <c r="G865" s="126"/>
    </row>
    <row r="866">
      <c r="C866" s="125"/>
      <c r="F866" s="125"/>
      <c r="G866" s="126"/>
    </row>
    <row r="867">
      <c r="C867" s="125"/>
      <c r="F867" s="125"/>
      <c r="G867" s="126"/>
    </row>
    <row r="868">
      <c r="C868" s="125"/>
      <c r="F868" s="125"/>
      <c r="G868" s="126"/>
    </row>
    <row r="869">
      <c r="C869" s="125"/>
      <c r="F869" s="125"/>
      <c r="G869" s="126"/>
    </row>
    <row r="870">
      <c r="C870" s="125"/>
      <c r="F870" s="125"/>
      <c r="G870" s="126"/>
    </row>
    <row r="871">
      <c r="C871" s="125"/>
      <c r="F871" s="125"/>
      <c r="G871" s="126"/>
    </row>
    <row r="872">
      <c r="C872" s="125"/>
      <c r="F872" s="125"/>
      <c r="G872" s="126"/>
    </row>
    <row r="873">
      <c r="C873" s="125"/>
      <c r="F873" s="125"/>
      <c r="G873" s="126"/>
    </row>
    <row r="874">
      <c r="C874" s="125"/>
      <c r="F874" s="125"/>
      <c r="G874" s="126"/>
    </row>
    <row r="875">
      <c r="C875" s="125"/>
      <c r="F875" s="125"/>
      <c r="G875" s="126"/>
    </row>
    <row r="876">
      <c r="C876" s="125"/>
      <c r="F876" s="125"/>
      <c r="G876" s="126"/>
    </row>
    <row r="877">
      <c r="C877" s="125"/>
      <c r="F877" s="125"/>
      <c r="G877" s="126"/>
    </row>
    <row r="878">
      <c r="C878" s="125"/>
      <c r="F878" s="125"/>
      <c r="G878" s="126"/>
    </row>
    <row r="879">
      <c r="C879" s="125"/>
      <c r="F879" s="125"/>
      <c r="G879" s="126"/>
    </row>
    <row r="880">
      <c r="C880" s="125"/>
      <c r="F880" s="125"/>
      <c r="G880" s="126"/>
    </row>
    <row r="881">
      <c r="C881" s="125"/>
      <c r="F881" s="125"/>
      <c r="G881" s="126"/>
    </row>
    <row r="882">
      <c r="C882" s="125"/>
      <c r="F882" s="125"/>
      <c r="G882" s="126"/>
    </row>
    <row r="883">
      <c r="C883" s="125"/>
      <c r="F883" s="125"/>
      <c r="G883" s="126"/>
    </row>
    <row r="884">
      <c r="C884" s="125"/>
      <c r="F884" s="125"/>
      <c r="G884" s="126"/>
    </row>
    <row r="885">
      <c r="C885" s="125"/>
      <c r="F885" s="125"/>
      <c r="G885" s="126"/>
    </row>
    <row r="886">
      <c r="C886" s="125"/>
      <c r="F886" s="125"/>
      <c r="G886" s="126"/>
    </row>
    <row r="887">
      <c r="C887" s="125"/>
      <c r="F887" s="125"/>
      <c r="G887" s="126"/>
    </row>
    <row r="888">
      <c r="C888" s="125"/>
      <c r="F888" s="125"/>
      <c r="G888" s="126"/>
    </row>
    <row r="889">
      <c r="C889" s="125"/>
      <c r="F889" s="125"/>
      <c r="G889" s="126"/>
    </row>
    <row r="890">
      <c r="C890" s="125"/>
      <c r="F890" s="125"/>
      <c r="G890" s="126"/>
    </row>
    <row r="891">
      <c r="C891" s="125"/>
      <c r="F891" s="125"/>
      <c r="G891" s="126"/>
    </row>
    <row r="892">
      <c r="C892" s="125"/>
      <c r="F892" s="125"/>
      <c r="G892" s="126"/>
    </row>
    <row r="893">
      <c r="C893" s="125"/>
      <c r="F893" s="125"/>
      <c r="G893" s="126"/>
    </row>
    <row r="894">
      <c r="C894" s="125"/>
      <c r="F894" s="125"/>
      <c r="G894" s="126"/>
    </row>
    <row r="895">
      <c r="C895" s="125"/>
      <c r="F895" s="125"/>
      <c r="G895" s="126"/>
    </row>
    <row r="896">
      <c r="C896" s="125"/>
      <c r="F896" s="125"/>
      <c r="G896" s="126"/>
    </row>
    <row r="897">
      <c r="C897" s="125"/>
      <c r="F897" s="125"/>
      <c r="G897" s="126"/>
    </row>
    <row r="898">
      <c r="C898" s="125"/>
      <c r="F898" s="125"/>
      <c r="G898" s="126"/>
    </row>
    <row r="899">
      <c r="C899" s="125"/>
      <c r="F899" s="125"/>
      <c r="G899" s="126"/>
    </row>
    <row r="900">
      <c r="C900" s="125"/>
      <c r="F900" s="125"/>
      <c r="G900" s="126"/>
    </row>
    <row r="901">
      <c r="C901" s="125"/>
      <c r="F901" s="125"/>
      <c r="G901" s="126"/>
    </row>
    <row r="902">
      <c r="C902" s="125"/>
      <c r="F902" s="125"/>
      <c r="G902" s="126"/>
    </row>
    <row r="903">
      <c r="C903" s="125"/>
      <c r="F903" s="125"/>
      <c r="G903" s="126"/>
    </row>
    <row r="904">
      <c r="C904" s="125"/>
      <c r="F904" s="125"/>
      <c r="G904" s="126"/>
    </row>
    <row r="905">
      <c r="C905" s="125"/>
      <c r="F905" s="125"/>
      <c r="G905" s="126"/>
    </row>
    <row r="906">
      <c r="C906" s="125"/>
      <c r="F906" s="125"/>
      <c r="G906" s="126"/>
    </row>
    <row r="907">
      <c r="C907" s="125"/>
      <c r="F907" s="125"/>
      <c r="G907" s="126"/>
    </row>
    <row r="908">
      <c r="C908" s="125"/>
      <c r="F908" s="125"/>
      <c r="G908" s="126"/>
    </row>
    <row r="909">
      <c r="C909" s="125"/>
      <c r="F909" s="125"/>
      <c r="G909" s="126"/>
    </row>
    <row r="910">
      <c r="C910" s="125"/>
      <c r="F910" s="125"/>
      <c r="G910" s="126"/>
    </row>
    <row r="911">
      <c r="C911" s="125"/>
      <c r="F911" s="125"/>
      <c r="G911" s="126"/>
    </row>
    <row r="912">
      <c r="C912" s="125"/>
      <c r="F912" s="125"/>
      <c r="G912" s="126"/>
    </row>
    <row r="913">
      <c r="C913" s="125"/>
      <c r="F913" s="125"/>
      <c r="G913" s="126"/>
    </row>
    <row r="914">
      <c r="C914" s="125"/>
      <c r="F914" s="125"/>
      <c r="G914" s="126"/>
    </row>
    <row r="915">
      <c r="C915" s="125"/>
      <c r="F915" s="125"/>
      <c r="G915" s="126"/>
    </row>
    <row r="916">
      <c r="C916" s="125"/>
      <c r="F916" s="125"/>
      <c r="G916" s="126"/>
    </row>
    <row r="917">
      <c r="C917" s="125"/>
      <c r="F917" s="125"/>
      <c r="G917" s="126"/>
    </row>
    <row r="918">
      <c r="C918" s="125"/>
      <c r="F918" s="125"/>
      <c r="G918" s="126"/>
    </row>
    <row r="919">
      <c r="C919" s="125"/>
      <c r="F919" s="125"/>
      <c r="G919" s="126"/>
    </row>
    <row r="920">
      <c r="C920" s="125"/>
      <c r="F920" s="125"/>
      <c r="G920" s="126"/>
    </row>
    <row r="921">
      <c r="C921" s="125"/>
      <c r="F921" s="125"/>
      <c r="G921" s="126"/>
    </row>
    <row r="922">
      <c r="C922" s="125"/>
      <c r="F922" s="125"/>
      <c r="G922" s="126"/>
    </row>
    <row r="923">
      <c r="C923" s="125"/>
      <c r="F923" s="125"/>
      <c r="G923" s="126"/>
    </row>
    <row r="924">
      <c r="C924" s="125"/>
      <c r="F924" s="125"/>
      <c r="G924" s="126"/>
    </row>
    <row r="925">
      <c r="C925" s="125"/>
      <c r="F925" s="125"/>
      <c r="G925" s="126"/>
    </row>
    <row r="926">
      <c r="C926" s="125"/>
      <c r="F926" s="125"/>
      <c r="G926" s="126"/>
    </row>
    <row r="927">
      <c r="C927" s="125"/>
      <c r="F927" s="125"/>
      <c r="G927" s="126"/>
    </row>
    <row r="928">
      <c r="C928" s="125"/>
      <c r="F928" s="125"/>
      <c r="G928" s="126"/>
    </row>
    <row r="929">
      <c r="C929" s="125"/>
      <c r="F929" s="125"/>
      <c r="G929" s="126"/>
    </row>
    <row r="930">
      <c r="C930" s="125"/>
      <c r="F930" s="125"/>
      <c r="G930" s="126"/>
    </row>
    <row r="931">
      <c r="C931" s="125"/>
      <c r="F931" s="125"/>
      <c r="G931" s="126"/>
    </row>
    <row r="932">
      <c r="C932" s="125"/>
      <c r="F932" s="125"/>
      <c r="G932" s="126"/>
    </row>
    <row r="933">
      <c r="C933" s="125"/>
      <c r="F933" s="125"/>
      <c r="G933" s="126"/>
    </row>
    <row r="934">
      <c r="C934" s="125"/>
      <c r="F934" s="125"/>
      <c r="G934" s="126"/>
    </row>
    <row r="935">
      <c r="C935" s="125"/>
      <c r="F935" s="125"/>
      <c r="G935" s="126"/>
    </row>
    <row r="936">
      <c r="C936" s="125"/>
      <c r="F936" s="125"/>
      <c r="G936" s="126"/>
    </row>
    <row r="937">
      <c r="C937" s="125"/>
      <c r="F937" s="125"/>
      <c r="G937" s="126"/>
    </row>
    <row r="938">
      <c r="C938" s="125"/>
      <c r="F938" s="125"/>
      <c r="G938" s="126"/>
    </row>
    <row r="939">
      <c r="C939" s="125"/>
      <c r="F939" s="125"/>
      <c r="G939" s="126"/>
    </row>
    <row r="940">
      <c r="C940" s="125"/>
      <c r="F940" s="125"/>
      <c r="G940" s="126"/>
    </row>
    <row r="941">
      <c r="C941" s="125"/>
      <c r="F941" s="125"/>
      <c r="G941" s="126"/>
    </row>
    <row r="942">
      <c r="C942" s="125"/>
      <c r="F942" s="125"/>
      <c r="G942" s="126"/>
    </row>
    <row r="943">
      <c r="C943" s="125"/>
      <c r="F943" s="125"/>
      <c r="G943" s="126"/>
    </row>
    <row r="944">
      <c r="C944" s="125"/>
      <c r="F944" s="125"/>
      <c r="G944" s="126"/>
    </row>
    <row r="945">
      <c r="C945" s="125"/>
      <c r="F945" s="125"/>
      <c r="G945" s="126"/>
    </row>
    <row r="946">
      <c r="C946" s="125"/>
      <c r="F946" s="125"/>
      <c r="G946" s="126"/>
    </row>
    <row r="947">
      <c r="C947" s="125"/>
      <c r="F947" s="125"/>
      <c r="G947" s="126"/>
    </row>
    <row r="948">
      <c r="C948" s="125"/>
      <c r="F948" s="125"/>
      <c r="G948" s="126"/>
    </row>
    <row r="949">
      <c r="C949" s="125"/>
      <c r="F949" s="125"/>
      <c r="G949" s="126"/>
    </row>
    <row r="950">
      <c r="C950" s="125"/>
      <c r="F950" s="125"/>
      <c r="G950" s="126"/>
    </row>
    <row r="951">
      <c r="C951" s="125"/>
      <c r="F951" s="125"/>
      <c r="G951" s="126"/>
    </row>
    <row r="952">
      <c r="C952" s="125"/>
      <c r="F952" s="125"/>
      <c r="G952" s="126"/>
    </row>
    <row r="953">
      <c r="C953" s="125"/>
      <c r="F953" s="125"/>
      <c r="G953" s="126"/>
    </row>
    <row r="954">
      <c r="C954" s="125"/>
      <c r="F954" s="125"/>
      <c r="G954" s="126"/>
    </row>
    <row r="955">
      <c r="C955" s="125"/>
      <c r="F955" s="125"/>
      <c r="G955" s="126"/>
    </row>
    <row r="956">
      <c r="C956" s="125"/>
      <c r="F956" s="125"/>
      <c r="G956" s="126"/>
    </row>
    <row r="957">
      <c r="C957" s="125"/>
      <c r="F957" s="125"/>
      <c r="G957" s="126"/>
    </row>
    <row r="958">
      <c r="C958" s="125"/>
      <c r="F958" s="125"/>
      <c r="G958" s="126"/>
    </row>
    <row r="959">
      <c r="C959" s="125"/>
      <c r="F959" s="125"/>
      <c r="G959" s="126"/>
    </row>
    <row r="960">
      <c r="C960" s="125"/>
      <c r="F960" s="125"/>
      <c r="G960" s="126"/>
    </row>
    <row r="961">
      <c r="C961" s="125"/>
      <c r="F961" s="125"/>
      <c r="G961" s="126"/>
    </row>
    <row r="962">
      <c r="C962" s="125"/>
      <c r="F962" s="125"/>
      <c r="G962" s="126"/>
    </row>
    <row r="963">
      <c r="C963" s="125"/>
      <c r="F963" s="125"/>
      <c r="G963" s="126"/>
    </row>
    <row r="964">
      <c r="C964" s="125"/>
      <c r="F964" s="125"/>
      <c r="G964" s="126"/>
    </row>
    <row r="965">
      <c r="C965" s="125"/>
      <c r="F965" s="125"/>
      <c r="G965" s="126"/>
    </row>
    <row r="966">
      <c r="C966" s="125"/>
      <c r="F966" s="125"/>
      <c r="G966" s="126"/>
    </row>
    <row r="967">
      <c r="C967" s="125"/>
      <c r="F967" s="125"/>
      <c r="G967" s="126"/>
    </row>
    <row r="968">
      <c r="C968" s="125"/>
      <c r="F968" s="125"/>
      <c r="G968" s="126"/>
    </row>
    <row r="969">
      <c r="C969" s="125"/>
      <c r="F969" s="125"/>
      <c r="G969" s="126"/>
    </row>
    <row r="970">
      <c r="C970" s="125"/>
      <c r="F970" s="125"/>
      <c r="G970" s="126"/>
    </row>
    <row r="971">
      <c r="C971" s="125"/>
      <c r="F971" s="125"/>
      <c r="G971" s="126"/>
    </row>
    <row r="972">
      <c r="C972" s="125"/>
      <c r="F972" s="125"/>
      <c r="G972" s="126"/>
    </row>
    <row r="973">
      <c r="C973" s="125"/>
      <c r="F973" s="125"/>
      <c r="G973" s="126"/>
    </row>
    <row r="974">
      <c r="C974" s="125"/>
      <c r="F974" s="125"/>
      <c r="G974" s="126"/>
    </row>
    <row r="975">
      <c r="C975" s="125"/>
      <c r="F975" s="125"/>
      <c r="G975" s="126"/>
    </row>
    <row r="976">
      <c r="C976" s="125"/>
      <c r="F976" s="125"/>
      <c r="G976" s="126"/>
    </row>
    <row r="977">
      <c r="C977" s="125"/>
      <c r="F977" s="125"/>
      <c r="G977" s="126"/>
    </row>
    <row r="978">
      <c r="C978" s="125"/>
      <c r="F978" s="125"/>
      <c r="G978" s="126"/>
    </row>
    <row r="979">
      <c r="C979" s="125"/>
      <c r="F979" s="125"/>
      <c r="G979" s="126"/>
    </row>
    <row r="980">
      <c r="C980" s="125"/>
      <c r="F980" s="125"/>
      <c r="G980" s="126"/>
    </row>
    <row r="981">
      <c r="C981" s="125"/>
      <c r="F981" s="125"/>
      <c r="G981" s="126"/>
    </row>
    <row r="982">
      <c r="C982" s="125"/>
      <c r="F982" s="125"/>
      <c r="G982" s="126"/>
    </row>
    <row r="983">
      <c r="C983" s="125"/>
      <c r="F983" s="125"/>
      <c r="G983" s="126"/>
    </row>
    <row r="984">
      <c r="C984" s="125"/>
      <c r="F984" s="125"/>
      <c r="G984" s="126"/>
    </row>
    <row r="985">
      <c r="C985" s="125"/>
      <c r="F985" s="125"/>
      <c r="G985" s="126"/>
    </row>
    <row r="986">
      <c r="C986" s="125"/>
      <c r="F986" s="125"/>
      <c r="G986" s="126"/>
    </row>
    <row r="987">
      <c r="C987" s="125"/>
      <c r="F987" s="125"/>
      <c r="G987" s="126"/>
    </row>
    <row r="988">
      <c r="C988" s="125"/>
      <c r="F988" s="125"/>
      <c r="G988" s="126"/>
    </row>
    <row r="989">
      <c r="C989" s="125"/>
      <c r="F989" s="125"/>
      <c r="G989" s="126"/>
    </row>
    <row r="990">
      <c r="C990" s="125"/>
      <c r="F990" s="125"/>
      <c r="G990" s="126"/>
    </row>
    <row r="991">
      <c r="C991" s="125"/>
      <c r="F991" s="125"/>
      <c r="G991" s="126"/>
    </row>
    <row r="992">
      <c r="C992" s="125"/>
      <c r="F992" s="125"/>
      <c r="G992" s="126"/>
    </row>
    <row r="993">
      <c r="C993" s="125"/>
      <c r="F993" s="125"/>
      <c r="G993" s="126"/>
    </row>
    <row r="994">
      <c r="C994" s="125"/>
      <c r="F994" s="125"/>
      <c r="G994" s="126"/>
    </row>
    <row r="995">
      <c r="C995" s="125"/>
      <c r="F995" s="125"/>
      <c r="G995" s="126"/>
    </row>
    <row r="996">
      <c r="C996" s="125"/>
      <c r="F996" s="125"/>
      <c r="G996" s="126"/>
    </row>
    <row r="997">
      <c r="C997" s="125"/>
      <c r="F997" s="125"/>
      <c r="G997" s="126"/>
    </row>
    <row r="998">
      <c r="C998" s="125"/>
      <c r="F998" s="125"/>
      <c r="G998" s="126"/>
    </row>
    <row r="999">
      <c r="C999" s="125"/>
      <c r="F999" s="125"/>
      <c r="G999" s="126"/>
    </row>
    <row r="1000">
      <c r="C1000" s="125"/>
      <c r="F1000" s="125"/>
      <c r="G1000" s="126"/>
    </row>
    <row r="1001">
      <c r="C1001" s="125"/>
      <c r="F1001" s="125"/>
      <c r="G1001" s="126"/>
    </row>
    <row r="1002">
      <c r="C1002" s="125"/>
      <c r="F1002" s="125"/>
      <c r="G1002" s="126"/>
    </row>
    <row r="1003">
      <c r="C1003" s="125"/>
      <c r="F1003" s="125"/>
      <c r="G1003" s="126"/>
    </row>
    <row r="1004">
      <c r="C1004" s="125"/>
      <c r="F1004" s="125"/>
      <c r="G1004" s="126"/>
    </row>
    <row r="1005">
      <c r="C1005" s="125"/>
      <c r="F1005" s="125"/>
      <c r="G1005" s="126"/>
    </row>
    <row r="1006">
      <c r="C1006" s="125"/>
      <c r="F1006" s="125"/>
      <c r="G1006" s="126"/>
    </row>
    <row r="1007">
      <c r="C1007" s="125"/>
      <c r="F1007" s="125"/>
      <c r="G1007" s="126"/>
    </row>
    <row r="1008">
      <c r="C1008" s="125"/>
      <c r="F1008" s="125"/>
      <c r="G1008" s="126"/>
    </row>
    <row r="1009">
      <c r="C1009" s="125"/>
      <c r="F1009" s="125"/>
      <c r="G1009" s="126"/>
    </row>
    <row r="1010">
      <c r="C1010" s="125"/>
      <c r="F1010" s="125"/>
      <c r="G1010" s="126"/>
    </row>
    <row r="1011">
      <c r="C1011" s="125"/>
      <c r="F1011" s="125"/>
      <c r="G1011" s="126"/>
    </row>
    <row r="1012">
      <c r="C1012" s="125"/>
      <c r="F1012" s="125"/>
      <c r="G1012" s="126"/>
    </row>
    <row r="1013">
      <c r="C1013" s="125"/>
      <c r="F1013" s="125"/>
      <c r="G1013" s="126"/>
    </row>
    <row r="1014">
      <c r="C1014" s="125"/>
      <c r="F1014" s="125"/>
      <c r="G1014" s="126"/>
    </row>
    <row r="1015">
      <c r="C1015" s="125"/>
      <c r="F1015" s="125"/>
      <c r="G1015" s="126"/>
    </row>
    <row r="1016">
      <c r="C1016" s="125"/>
      <c r="F1016" s="125"/>
      <c r="G1016" s="126"/>
    </row>
    <row r="1017">
      <c r="C1017" s="125"/>
      <c r="F1017" s="125"/>
      <c r="G1017" s="126"/>
    </row>
    <row r="1018">
      <c r="C1018" s="125"/>
      <c r="F1018" s="125"/>
      <c r="G1018" s="126"/>
    </row>
    <row r="1019">
      <c r="C1019" s="125"/>
      <c r="F1019" s="125"/>
      <c r="G1019" s="126"/>
    </row>
    <row r="1020">
      <c r="C1020" s="125"/>
      <c r="F1020" s="125"/>
      <c r="G1020" s="126"/>
    </row>
    <row r="1021">
      <c r="C1021" s="125"/>
      <c r="F1021" s="125"/>
      <c r="G1021" s="126"/>
    </row>
    <row r="1022">
      <c r="C1022" s="125"/>
      <c r="F1022" s="125"/>
      <c r="G1022" s="126"/>
    </row>
    <row r="1023">
      <c r="C1023" s="125"/>
      <c r="F1023" s="125"/>
      <c r="G1023" s="126"/>
    </row>
    <row r="1024">
      <c r="C1024" s="125"/>
      <c r="F1024" s="125"/>
      <c r="G1024" s="126"/>
    </row>
  </sheetData>
  <mergeCells count="42">
    <mergeCell ref="C2:C5"/>
    <mergeCell ref="C6:C9"/>
    <mergeCell ref="C12:C15"/>
    <mergeCell ref="C16:C19"/>
    <mergeCell ref="C22:C26"/>
    <mergeCell ref="C27:C30"/>
    <mergeCell ref="C33:C37"/>
    <mergeCell ref="C38:C42"/>
    <mergeCell ref="C43:C47"/>
    <mergeCell ref="C50:C55"/>
    <mergeCell ref="C56:C59"/>
    <mergeCell ref="C60:C64"/>
    <mergeCell ref="C67:C71"/>
    <mergeCell ref="C72:C74"/>
    <mergeCell ref="C77:C80"/>
    <mergeCell ref="C81:C83"/>
    <mergeCell ref="C84:C88"/>
    <mergeCell ref="C93:C96"/>
    <mergeCell ref="C97:C100"/>
    <mergeCell ref="C102:C105"/>
    <mergeCell ref="C109:C113"/>
    <mergeCell ref="C114:C116"/>
    <mergeCell ref="C117:C120"/>
    <mergeCell ref="C122:C125"/>
    <mergeCell ref="C126:C129"/>
    <mergeCell ref="C132:C136"/>
    <mergeCell ref="C137:C140"/>
    <mergeCell ref="C141:C144"/>
    <mergeCell ref="C183:C186"/>
    <mergeCell ref="C189:C192"/>
    <mergeCell ref="C193:C196"/>
    <mergeCell ref="C199:C202"/>
    <mergeCell ref="C203:C206"/>
    <mergeCell ref="C209:C212"/>
    <mergeCell ref="C214:C217"/>
    <mergeCell ref="C147:C150"/>
    <mergeCell ref="C152:C155"/>
    <mergeCell ref="C158:C161"/>
    <mergeCell ref="C162:C165"/>
    <mergeCell ref="C168:C171"/>
    <mergeCell ref="C172:C175"/>
    <mergeCell ref="C178:C181"/>
  </mergeCells>
  <dataValidations>
    <dataValidation type="list" allowBlank="1" showErrorMessage="1" sqref="H2:H30 H92:H100 H121:H129 H132:H140 H146:H155 H157:H165 H167:H175 H177:H186 H188:H196 H198:H206 H208:H217">
      <formula1>"Pendiente,En curso,Ok (sin programar),Programado,Publicado"</formula1>
    </dataValidation>
  </dataValidations>
  <hyperlinks>
    <hyperlink r:id="rId1" ref="D69"/>
    <hyperlink r:id="rId2" ref="D71"/>
    <hyperlink r:id="rId3" ref="D78"/>
    <hyperlink r:id="rId4" ref="I132"/>
    <hyperlink r:id="rId5" ref="I137"/>
  </hyperlinks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17.38"/>
    <col customWidth="1" min="3" max="3" width="20.38"/>
    <col customWidth="1" min="4" max="4" width="23.0"/>
  </cols>
  <sheetData>
    <row r="1">
      <c r="A1" s="127" t="s">
        <v>122</v>
      </c>
    </row>
    <row r="2">
      <c r="A2" s="128"/>
      <c r="B2" s="128"/>
      <c r="C2" s="128"/>
      <c r="D2" s="129"/>
      <c r="E2" s="128"/>
      <c r="F2" s="128"/>
      <c r="G2" s="128"/>
      <c r="H2" s="128"/>
      <c r="I2" s="128"/>
      <c r="J2" s="128"/>
      <c r="K2" s="128"/>
      <c r="L2" s="128"/>
      <c r="M2" s="128"/>
    </row>
    <row r="3">
      <c r="A3" s="130" t="s">
        <v>123</v>
      </c>
      <c r="B3" s="130" t="s">
        <v>124</v>
      </c>
      <c r="C3" s="130" t="s">
        <v>125</v>
      </c>
      <c r="D3" s="131" t="s">
        <v>126</v>
      </c>
      <c r="E3" s="128"/>
      <c r="F3" s="128"/>
      <c r="G3" s="128"/>
      <c r="H3" s="128"/>
      <c r="I3" s="128"/>
      <c r="J3" s="128"/>
      <c r="K3" s="128"/>
      <c r="L3" s="128"/>
      <c r="M3" s="128"/>
    </row>
    <row r="4">
      <c r="A4" s="132" t="s">
        <v>127</v>
      </c>
      <c r="B4" s="133" t="s">
        <v>128</v>
      </c>
      <c r="C4" s="133" t="s">
        <v>129</v>
      </c>
      <c r="D4" s="134" t="s">
        <v>130</v>
      </c>
      <c r="E4" s="128"/>
      <c r="F4" s="128"/>
      <c r="G4" s="128"/>
      <c r="H4" s="128"/>
      <c r="I4" s="128"/>
      <c r="J4" s="128"/>
      <c r="K4" s="128"/>
      <c r="L4" s="128"/>
      <c r="M4" s="128"/>
    </row>
    <row r="5">
      <c r="A5" s="132" t="s">
        <v>131</v>
      </c>
      <c r="B5" s="135">
        <v>1261.0</v>
      </c>
      <c r="C5" s="135">
        <v>14300.0</v>
      </c>
      <c r="D5" s="136">
        <v>14700.0</v>
      </c>
      <c r="E5" s="128"/>
      <c r="F5" s="128"/>
      <c r="G5" s="128"/>
      <c r="H5" s="128"/>
      <c r="I5" s="128"/>
      <c r="J5" s="128"/>
      <c r="K5" s="128"/>
      <c r="L5" s="128"/>
      <c r="M5" s="128"/>
    </row>
    <row r="6">
      <c r="A6" s="132" t="s">
        <v>132</v>
      </c>
      <c r="B6" s="137"/>
      <c r="C6" s="137"/>
      <c r="D6" s="138"/>
      <c r="E6" s="128"/>
      <c r="F6" s="128"/>
      <c r="G6" s="128"/>
      <c r="H6" s="128"/>
      <c r="I6" s="128"/>
      <c r="J6" s="128"/>
      <c r="K6" s="128"/>
      <c r="L6" s="128"/>
      <c r="M6" s="128"/>
    </row>
    <row r="7">
      <c r="A7" s="128"/>
      <c r="B7" s="128"/>
      <c r="C7" s="128"/>
      <c r="D7" s="129"/>
      <c r="E7" s="128"/>
      <c r="F7" s="128"/>
      <c r="G7" s="128"/>
      <c r="H7" s="128"/>
      <c r="I7" s="128"/>
      <c r="J7" s="128"/>
      <c r="K7" s="128"/>
      <c r="L7" s="128"/>
      <c r="M7" s="128"/>
    </row>
    <row r="8">
      <c r="A8" s="139" t="s">
        <v>133</v>
      </c>
      <c r="E8" s="128"/>
      <c r="F8" s="128"/>
      <c r="G8" s="128"/>
      <c r="H8" s="128"/>
      <c r="I8" s="128"/>
      <c r="J8" s="128"/>
      <c r="K8" s="128"/>
      <c r="L8" s="128"/>
      <c r="M8" s="128"/>
    </row>
    <row r="9">
      <c r="A9" s="132" t="s">
        <v>134</v>
      </c>
      <c r="B9" s="140" t="s">
        <v>135</v>
      </c>
      <c r="C9" s="141" t="s">
        <v>136</v>
      </c>
      <c r="D9" s="134" t="s">
        <v>137</v>
      </c>
      <c r="E9" s="128"/>
      <c r="F9" s="128"/>
      <c r="G9" s="128"/>
      <c r="H9" s="128"/>
      <c r="I9" s="128"/>
      <c r="J9" s="128"/>
      <c r="K9" s="128"/>
      <c r="L9" s="128"/>
      <c r="M9" s="128"/>
    </row>
    <row r="10">
      <c r="A10" s="132" t="s">
        <v>138</v>
      </c>
      <c r="B10" s="142">
        <v>46038.0</v>
      </c>
      <c r="C10" s="142">
        <v>46045.0</v>
      </c>
      <c r="D10" s="143">
        <v>46065.0</v>
      </c>
      <c r="E10" s="128"/>
      <c r="F10" s="128"/>
      <c r="G10" s="128"/>
      <c r="H10" s="128"/>
      <c r="I10" s="128"/>
      <c r="J10" s="128"/>
      <c r="K10" s="128"/>
      <c r="L10" s="128"/>
      <c r="M10" s="128"/>
    </row>
    <row r="11">
      <c r="A11" s="132" t="s">
        <v>139</v>
      </c>
      <c r="B11" s="144">
        <v>1923.0</v>
      </c>
      <c r="C11" s="144">
        <v>2082.0</v>
      </c>
      <c r="D11" s="145">
        <v>2008.0</v>
      </c>
      <c r="E11" s="128"/>
      <c r="F11" s="128"/>
      <c r="G11" s="128"/>
      <c r="H11" s="128"/>
      <c r="I11" s="128"/>
      <c r="J11" s="128"/>
      <c r="K11" s="128"/>
      <c r="L11" s="128"/>
      <c r="M11" s="128"/>
    </row>
    <row r="12">
      <c r="A12" s="128"/>
      <c r="B12" s="128"/>
      <c r="C12" s="128"/>
      <c r="D12" s="129"/>
      <c r="E12" s="128"/>
      <c r="F12" s="128"/>
      <c r="G12" s="128"/>
      <c r="H12" s="128"/>
      <c r="I12" s="128"/>
      <c r="J12" s="128"/>
      <c r="K12" s="128"/>
      <c r="L12" s="128"/>
      <c r="M12" s="128"/>
    </row>
    <row r="13">
      <c r="A13" s="139" t="s">
        <v>140</v>
      </c>
      <c r="E13" s="128"/>
      <c r="F13" s="128"/>
      <c r="G13" s="128"/>
      <c r="H13" s="128"/>
      <c r="I13" s="128"/>
      <c r="J13" s="128"/>
      <c r="K13" s="128"/>
      <c r="L13" s="128"/>
      <c r="M13" s="128"/>
    </row>
    <row r="14">
      <c r="A14" s="132" t="s">
        <v>134</v>
      </c>
      <c r="B14" s="140" t="s">
        <v>141</v>
      </c>
      <c r="C14" s="146"/>
      <c r="D14" s="134" t="s">
        <v>142</v>
      </c>
      <c r="E14" s="128"/>
      <c r="F14" s="128"/>
      <c r="G14" s="128"/>
      <c r="H14" s="128"/>
      <c r="I14" s="128"/>
      <c r="J14" s="128"/>
      <c r="K14" s="128"/>
      <c r="L14" s="128"/>
      <c r="M14" s="128"/>
    </row>
    <row r="15">
      <c r="A15" s="132" t="s">
        <v>138</v>
      </c>
      <c r="B15" s="142">
        <v>46040.0</v>
      </c>
      <c r="C15" s="147"/>
      <c r="D15" s="143">
        <v>46070.0</v>
      </c>
      <c r="E15" s="128"/>
      <c r="F15" s="128"/>
      <c r="G15" s="128"/>
      <c r="H15" s="128"/>
      <c r="I15" s="128"/>
      <c r="J15" s="128"/>
      <c r="K15" s="128"/>
      <c r="L15" s="128"/>
      <c r="M15" s="128"/>
    </row>
    <row r="16">
      <c r="A16" s="132" t="s">
        <v>139</v>
      </c>
      <c r="B16" s="144">
        <v>2176.0</v>
      </c>
      <c r="C16" s="147"/>
      <c r="D16" s="145">
        <v>7148.0</v>
      </c>
      <c r="E16" s="128"/>
      <c r="F16" s="128"/>
      <c r="G16" s="128"/>
      <c r="H16" s="128"/>
      <c r="I16" s="128"/>
      <c r="J16" s="128"/>
      <c r="K16" s="128"/>
      <c r="L16" s="128"/>
      <c r="M16" s="128"/>
    </row>
    <row r="17">
      <c r="A17" s="128"/>
      <c r="B17" s="128"/>
      <c r="C17" s="128"/>
      <c r="D17" s="129"/>
      <c r="E17" s="128"/>
      <c r="F17" s="128"/>
      <c r="G17" s="128"/>
      <c r="H17" s="128"/>
      <c r="I17" s="128"/>
      <c r="J17" s="128"/>
      <c r="K17" s="128"/>
      <c r="L17" s="128"/>
      <c r="M17" s="128"/>
    </row>
    <row r="18">
      <c r="A18" s="148" t="s">
        <v>143</v>
      </c>
      <c r="E18" s="128"/>
      <c r="F18" s="128"/>
      <c r="G18" s="128"/>
      <c r="H18" s="128"/>
      <c r="I18" s="128"/>
      <c r="J18" s="128"/>
      <c r="K18" s="128"/>
      <c r="L18" s="128"/>
      <c r="M18" s="128"/>
    </row>
    <row r="19">
      <c r="A19" s="149" t="s">
        <v>144</v>
      </c>
      <c r="B19" s="140" t="s">
        <v>145</v>
      </c>
      <c r="C19" s="146"/>
      <c r="D19" s="150" t="s">
        <v>146</v>
      </c>
      <c r="E19" s="128"/>
      <c r="F19" s="128"/>
      <c r="G19" s="128"/>
      <c r="H19" s="128"/>
      <c r="I19" s="128"/>
      <c r="J19" s="128"/>
      <c r="K19" s="128"/>
      <c r="L19" s="128"/>
      <c r="M19" s="128"/>
    </row>
    <row r="20">
      <c r="A20" s="149" t="s">
        <v>147</v>
      </c>
      <c r="B20" s="135">
        <v>2011.0</v>
      </c>
      <c r="C20" s="147"/>
      <c r="D20" s="136">
        <v>2836.0</v>
      </c>
      <c r="E20" s="128"/>
      <c r="F20" s="128"/>
      <c r="G20" s="128"/>
      <c r="H20" s="128"/>
      <c r="I20" s="128"/>
      <c r="J20" s="128"/>
      <c r="K20" s="128"/>
      <c r="L20" s="128"/>
      <c r="M20" s="128"/>
    </row>
    <row r="21">
      <c r="A21" s="149" t="s">
        <v>148</v>
      </c>
      <c r="B21" s="140" t="s">
        <v>149</v>
      </c>
      <c r="C21" s="146"/>
      <c r="D21" s="151" t="s">
        <v>150</v>
      </c>
      <c r="E21" s="128"/>
      <c r="F21" s="128"/>
      <c r="G21" s="128"/>
      <c r="H21" s="128"/>
      <c r="I21" s="128"/>
      <c r="J21" s="128"/>
      <c r="K21" s="128"/>
      <c r="L21" s="128"/>
      <c r="M21" s="128"/>
    </row>
    <row r="22">
      <c r="A22" s="149" t="s">
        <v>151</v>
      </c>
      <c r="B22" s="135">
        <v>1176.0</v>
      </c>
      <c r="C22" s="147"/>
      <c r="D22" s="152">
        <v>6729.0</v>
      </c>
      <c r="E22" s="128"/>
      <c r="F22" s="128"/>
      <c r="G22" s="128"/>
      <c r="H22" s="128"/>
      <c r="I22" s="128"/>
      <c r="J22" s="128"/>
      <c r="K22" s="128"/>
      <c r="L22" s="128"/>
      <c r="M22" s="128"/>
    </row>
    <row r="23">
      <c r="A23" s="149" t="s">
        <v>152</v>
      </c>
      <c r="B23" s="146"/>
      <c r="C23" s="146"/>
      <c r="D23" s="151" t="s">
        <v>153</v>
      </c>
      <c r="E23" s="128"/>
      <c r="F23" s="128"/>
      <c r="G23" s="128"/>
      <c r="H23" s="128"/>
      <c r="I23" s="128"/>
      <c r="J23" s="128"/>
      <c r="K23" s="128"/>
      <c r="L23" s="128"/>
      <c r="M23" s="128"/>
    </row>
    <row r="24">
      <c r="A24" s="149" t="s">
        <v>154</v>
      </c>
      <c r="B24" s="147"/>
      <c r="C24" s="147"/>
      <c r="D24" s="152">
        <v>4068.0</v>
      </c>
      <c r="E24" s="128"/>
      <c r="F24" s="128"/>
      <c r="G24" s="128"/>
      <c r="H24" s="128"/>
      <c r="I24" s="128"/>
      <c r="J24" s="128"/>
      <c r="K24" s="128"/>
      <c r="L24" s="128"/>
      <c r="M24" s="128"/>
    </row>
    <row r="25">
      <c r="A25" s="149" t="s">
        <v>155</v>
      </c>
      <c r="B25" s="128"/>
      <c r="C25" s="128"/>
      <c r="D25" s="153" t="s">
        <v>156</v>
      </c>
      <c r="E25" s="128"/>
      <c r="F25" s="128"/>
      <c r="G25" s="128"/>
      <c r="H25" s="128"/>
      <c r="I25" s="128"/>
      <c r="J25" s="128"/>
      <c r="K25" s="128"/>
      <c r="L25" s="128"/>
      <c r="M25" s="128"/>
    </row>
    <row r="26">
      <c r="A26" s="149" t="s">
        <v>157</v>
      </c>
      <c r="B26" s="128"/>
      <c r="C26" s="128"/>
      <c r="D26" s="154">
        <v>3952.0</v>
      </c>
      <c r="E26" s="128"/>
      <c r="F26" s="128"/>
      <c r="G26" s="128"/>
      <c r="H26" s="128"/>
      <c r="I26" s="128"/>
      <c r="J26" s="128"/>
      <c r="K26" s="128"/>
      <c r="L26" s="128"/>
      <c r="M26" s="128"/>
    </row>
    <row r="27">
      <c r="A27" s="149" t="s">
        <v>158</v>
      </c>
      <c r="B27" s="128"/>
      <c r="C27" s="128"/>
      <c r="D27" s="153" t="s">
        <v>159</v>
      </c>
      <c r="E27" s="128"/>
      <c r="F27" s="128"/>
      <c r="G27" s="128"/>
      <c r="H27" s="128"/>
      <c r="I27" s="128"/>
      <c r="J27" s="128"/>
      <c r="K27" s="128"/>
      <c r="L27" s="128"/>
      <c r="M27" s="128"/>
    </row>
    <row r="28">
      <c r="A28" s="149" t="s">
        <v>160</v>
      </c>
      <c r="B28" s="128"/>
      <c r="C28" s="128"/>
      <c r="D28" s="154">
        <v>2750.0</v>
      </c>
      <c r="E28" s="128"/>
      <c r="F28" s="128"/>
      <c r="G28" s="128"/>
      <c r="H28" s="128"/>
      <c r="I28" s="128"/>
      <c r="J28" s="128"/>
      <c r="K28" s="128"/>
      <c r="L28" s="128"/>
      <c r="M28" s="128"/>
    </row>
    <row r="29">
      <c r="A29" s="149" t="s">
        <v>161</v>
      </c>
      <c r="B29" s="128"/>
      <c r="C29" s="128"/>
      <c r="D29" s="153" t="s">
        <v>162</v>
      </c>
      <c r="E29" s="128"/>
      <c r="F29" s="128"/>
      <c r="G29" s="128"/>
      <c r="H29" s="128"/>
      <c r="I29" s="128"/>
      <c r="J29" s="128"/>
      <c r="K29" s="128"/>
      <c r="L29" s="128"/>
      <c r="M29" s="128"/>
    </row>
    <row r="30">
      <c r="A30" s="149" t="s">
        <v>163</v>
      </c>
      <c r="B30" s="128"/>
      <c r="C30" s="128"/>
      <c r="D30" s="154">
        <v>1523.0</v>
      </c>
      <c r="E30" s="128"/>
      <c r="F30" s="128"/>
      <c r="G30" s="128"/>
      <c r="H30" s="128"/>
      <c r="I30" s="128"/>
      <c r="J30" s="128"/>
      <c r="K30" s="128"/>
      <c r="L30" s="128"/>
      <c r="M30" s="128"/>
    </row>
    <row r="31">
      <c r="A31" s="128"/>
      <c r="B31" s="128"/>
      <c r="C31" s="128"/>
      <c r="D31" s="129"/>
      <c r="E31" s="128"/>
      <c r="F31" s="128"/>
      <c r="G31" s="128"/>
      <c r="H31" s="128"/>
      <c r="I31" s="128"/>
      <c r="J31" s="128"/>
      <c r="K31" s="128"/>
      <c r="L31" s="128"/>
      <c r="M31" s="128"/>
    </row>
    <row r="32">
      <c r="A32" s="139" t="s">
        <v>164</v>
      </c>
      <c r="E32" s="128"/>
      <c r="F32" s="128"/>
      <c r="G32" s="128"/>
      <c r="H32" s="128"/>
      <c r="I32" s="128"/>
      <c r="J32" s="128"/>
      <c r="K32" s="128"/>
      <c r="L32" s="128"/>
      <c r="M32" s="128"/>
    </row>
    <row r="33">
      <c r="A33" s="132" t="s">
        <v>165</v>
      </c>
      <c r="B33" s="155"/>
      <c r="C33" s="155"/>
      <c r="D33" s="138"/>
      <c r="E33" s="128"/>
      <c r="F33" s="128"/>
      <c r="G33" s="128"/>
      <c r="H33" s="128"/>
      <c r="I33" s="128"/>
      <c r="J33" s="128"/>
      <c r="K33" s="128"/>
      <c r="L33" s="128"/>
      <c r="M33" s="128"/>
    </row>
    <row r="34">
      <c r="A34" s="132" t="s">
        <v>166</v>
      </c>
      <c r="B34" s="155"/>
      <c r="C34" s="155"/>
      <c r="D34" s="138"/>
      <c r="E34" s="128"/>
      <c r="G34" s="128"/>
      <c r="H34" s="128"/>
      <c r="I34" s="128"/>
      <c r="J34" s="128"/>
      <c r="K34" s="128"/>
      <c r="L34" s="128"/>
      <c r="M34" s="128"/>
    </row>
    <row r="35">
      <c r="A35" s="149" t="s">
        <v>167</v>
      </c>
      <c r="B35" s="156"/>
      <c r="C35" s="156"/>
      <c r="D35" s="157"/>
      <c r="E35" s="128"/>
      <c r="F35" s="128"/>
      <c r="G35" s="128"/>
      <c r="H35" s="128"/>
      <c r="I35" s="128"/>
      <c r="J35" s="128"/>
      <c r="K35" s="128"/>
      <c r="L35" s="128"/>
      <c r="M35" s="128"/>
    </row>
    <row r="36">
      <c r="A36" s="149" t="s">
        <v>168</v>
      </c>
      <c r="B36" s="156"/>
      <c r="C36" s="156"/>
      <c r="D36" s="157"/>
      <c r="E36" s="128"/>
      <c r="F36" s="128"/>
      <c r="G36" s="128"/>
      <c r="H36" s="128"/>
      <c r="I36" s="128"/>
      <c r="J36" s="128"/>
      <c r="K36" s="128"/>
      <c r="L36" s="128"/>
      <c r="M36" s="128"/>
    </row>
    <row r="37">
      <c r="A37" s="128"/>
      <c r="B37" s="128"/>
      <c r="C37" s="128"/>
      <c r="D37" s="129"/>
      <c r="E37" s="128"/>
      <c r="F37" s="128"/>
      <c r="G37" s="128"/>
      <c r="H37" s="128"/>
      <c r="I37" s="128"/>
      <c r="J37" s="128"/>
      <c r="K37" s="128"/>
      <c r="L37" s="128"/>
      <c r="M37" s="128"/>
    </row>
    <row r="38">
      <c r="A38" s="158" t="s">
        <v>169</v>
      </c>
      <c r="B38" s="159"/>
      <c r="C38" s="159"/>
      <c r="D38" s="159"/>
      <c r="E38" s="128"/>
      <c r="F38" s="128"/>
      <c r="G38" s="128"/>
      <c r="H38" s="128"/>
      <c r="I38" s="128"/>
      <c r="J38" s="128"/>
      <c r="K38" s="128"/>
      <c r="L38" s="128"/>
      <c r="M38" s="128"/>
    </row>
    <row r="39">
      <c r="A39" s="160" t="s">
        <v>170</v>
      </c>
      <c r="B39" s="161">
        <f t="shared" ref="B39:D39" si="1">B11+B16</f>
        <v>4099</v>
      </c>
      <c r="C39" s="161">
        <f t="shared" si="1"/>
        <v>2082</v>
      </c>
      <c r="D39" s="162">
        <f t="shared" si="1"/>
        <v>9156</v>
      </c>
      <c r="E39" s="128"/>
      <c r="F39" s="128"/>
      <c r="G39" s="128"/>
      <c r="H39" s="128"/>
      <c r="I39" s="128"/>
      <c r="J39" s="128"/>
      <c r="K39" s="128"/>
      <c r="L39" s="128"/>
      <c r="M39" s="128"/>
    </row>
    <row r="40">
      <c r="A40" s="132" t="s">
        <v>171</v>
      </c>
      <c r="B40" s="144">
        <f t="shared" ref="B40:C40" si="2">B11+B16+B20+B22+B24</f>
        <v>7286</v>
      </c>
      <c r="C40" s="144">
        <f t="shared" si="2"/>
        <v>2082</v>
      </c>
      <c r="D40" s="145">
        <f>D11+D16+D20+D22+D24+D26+D28+D30</f>
        <v>31014</v>
      </c>
      <c r="E40" s="128"/>
      <c r="F40" s="128"/>
      <c r="G40" s="128"/>
      <c r="H40" s="128"/>
      <c r="I40" s="128"/>
      <c r="J40" s="128"/>
      <c r="K40" s="128"/>
      <c r="L40" s="128"/>
      <c r="M40" s="128"/>
    </row>
    <row r="41">
      <c r="A41" s="132" t="s">
        <v>172</v>
      </c>
      <c r="B41" s="135">
        <f>B40/4</f>
        <v>1821.5</v>
      </c>
      <c r="C41" s="135">
        <f>C40/1</f>
        <v>2082</v>
      </c>
      <c r="D41" s="136">
        <f>D40/10</f>
        <v>3101.4</v>
      </c>
      <c r="E41" s="128"/>
      <c r="F41" s="128"/>
      <c r="G41" s="128"/>
      <c r="H41" s="128"/>
      <c r="I41" s="128"/>
      <c r="J41" s="128"/>
      <c r="K41" s="128"/>
      <c r="L41" s="128"/>
      <c r="M41" s="128"/>
    </row>
    <row r="42">
      <c r="D42" s="126"/>
    </row>
    <row r="43">
      <c r="D43" s="126"/>
    </row>
    <row r="44">
      <c r="D44" s="126"/>
    </row>
    <row r="45">
      <c r="D45" s="126"/>
    </row>
    <row r="46">
      <c r="D46" s="126"/>
    </row>
    <row r="47">
      <c r="D47" s="126"/>
    </row>
    <row r="48">
      <c r="D48" s="126"/>
    </row>
    <row r="49">
      <c r="D49" s="126"/>
    </row>
    <row r="50">
      <c r="D50" s="126"/>
    </row>
    <row r="51">
      <c r="D51" s="126"/>
    </row>
    <row r="52">
      <c r="D52" s="126"/>
    </row>
    <row r="53">
      <c r="D53" s="126"/>
    </row>
    <row r="54">
      <c r="D54" s="126"/>
    </row>
    <row r="55">
      <c r="D55" s="126"/>
    </row>
    <row r="56">
      <c r="D56" s="126"/>
    </row>
    <row r="57">
      <c r="D57" s="126"/>
    </row>
    <row r="58">
      <c r="D58" s="126"/>
    </row>
    <row r="59">
      <c r="D59" s="126"/>
    </row>
    <row r="60">
      <c r="D60" s="126"/>
    </row>
    <row r="61">
      <c r="D61" s="126"/>
    </row>
    <row r="62">
      <c r="D62" s="126"/>
    </row>
    <row r="63">
      <c r="D63" s="126"/>
    </row>
    <row r="64">
      <c r="D64" s="126"/>
    </row>
    <row r="65">
      <c r="D65" s="126"/>
    </row>
    <row r="66">
      <c r="D66" s="126"/>
    </row>
    <row r="67">
      <c r="D67" s="126"/>
    </row>
    <row r="68">
      <c r="D68" s="126"/>
    </row>
    <row r="69">
      <c r="D69" s="126"/>
    </row>
    <row r="70">
      <c r="D70" s="126"/>
    </row>
    <row r="71">
      <c r="D71" s="126"/>
    </row>
    <row r="72">
      <c r="D72" s="126"/>
    </row>
    <row r="73">
      <c r="D73" s="126"/>
    </row>
    <row r="74">
      <c r="D74" s="126"/>
    </row>
    <row r="75">
      <c r="D75" s="126"/>
    </row>
    <row r="76">
      <c r="D76" s="126"/>
    </row>
    <row r="77">
      <c r="D77" s="126"/>
    </row>
    <row r="78">
      <c r="D78" s="126"/>
    </row>
    <row r="79">
      <c r="D79" s="126"/>
    </row>
    <row r="80">
      <c r="D80" s="126"/>
    </row>
    <row r="81">
      <c r="D81" s="126"/>
    </row>
    <row r="82">
      <c r="D82" s="126"/>
    </row>
    <row r="83">
      <c r="D83" s="126"/>
    </row>
    <row r="84">
      <c r="D84" s="126"/>
    </row>
    <row r="85">
      <c r="D85" s="126"/>
    </row>
    <row r="86">
      <c r="D86" s="126"/>
    </row>
    <row r="87">
      <c r="D87" s="126"/>
    </row>
    <row r="88">
      <c r="D88" s="126"/>
    </row>
    <row r="89">
      <c r="D89" s="126"/>
    </row>
    <row r="90">
      <c r="D90" s="126"/>
    </row>
    <row r="91">
      <c r="D91" s="126"/>
    </row>
    <row r="92">
      <c r="D92" s="126"/>
    </row>
    <row r="93">
      <c r="D93" s="126"/>
    </row>
    <row r="94">
      <c r="D94" s="126"/>
    </row>
    <row r="95">
      <c r="D95" s="126"/>
    </row>
    <row r="96">
      <c r="D96" s="126"/>
    </row>
    <row r="97">
      <c r="D97" s="126"/>
    </row>
    <row r="98">
      <c r="D98" s="126"/>
    </row>
    <row r="99">
      <c r="D99" s="126"/>
    </row>
    <row r="100">
      <c r="D100" s="126"/>
    </row>
    <row r="101">
      <c r="D101" s="126"/>
    </row>
    <row r="102">
      <c r="D102" s="126"/>
    </row>
    <row r="103">
      <c r="D103" s="126"/>
    </row>
    <row r="104">
      <c r="D104" s="126"/>
    </row>
    <row r="105">
      <c r="D105" s="126"/>
    </row>
    <row r="106">
      <c r="D106" s="126"/>
    </row>
    <row r="107">
      <c r="D107" s="126"/>
    </row>
    <row r="108">
      <c r="D108" s="126"/>
    </row>
    <row r="109">
      <c r="D109" s="126"/>
    </row>
    <row r="110">
      <c r="D110" s="126"/>
    </row>
    <row r="111">
      <c r="D111" s="126"/>
    </row>
    <row r="112">
      <c r="D112" s="126"/>
    </row>
    <row r="113">
      <c r="D113" s="126"/>
    </row>
    <row r="114">
      <c r="D114" s="126"/>
    </row>
    <row r="115">
      <c r="D115" s="126"/>
    </row>
    <row r="116">
      <c r="D116" s="126"/>
    </row>
    <row r="117">
      <c r="D117" s="126"/>
    </row>
    <row r="118">
      <c r="D118" s="126"/>
    </row>
    <row r="119">
      <c r="D119" s="126"/>
    </row>
    <row r="120">
      <c r="D120" s="126"/>
    </row>
    <row r="121">
      <c r="D121" s="126"/>
    </row>
    <row r="122">
      <c r="D122" s="126"/>
    </row>
    <row r="123">
      <c r="D123" s="126"/>
    </row>
    <row r="124">
      <c r="D124" s="126"/>
    </row>
    <row r="125">
      <c r="D125" s="126"/>
    </row>
    <row r="126">
      <c r="D126" s="126"/>
    </row>
    <row r="127">
      <c r="D127" s="126"/>
    </row>
    <row r="128">
      <c r="D128" s="126"/>
    </row>
    <row r="129">
      <c r="D129" s="126"/>
    </row>
    <row r="130">
      <c r="D130" s="126"/>
    </row>
    <row r="131">
      <c r="D131" s="126"/>
    </row>
    <row r="132">
      <c r="D132" s="126"/>
    </row>
    <row r="133">
      <c r="D133" s="126"/>
    </row>
    <row r="134">
      <c r="D134" s="126"/>
    </row>
    <row r="135">
      <c r="D135" s="126"/>
    </row>
    <row r="136">
      <c r="D136" s="126"/>
    </row>
    <row r="137">
      <c r="D137" s="126"/>
    </row>
    <row r="138">
      <c r="D138" s="126"/>
    </row>
    <row r="139">
      <c r="D139" s="126"/>
    </row>
    <row r="140">
      <c r="D140" s="126"/>
    </row>
    <row r="141">
      <c r="D141" s="126"/>
    </row>
    <row r="142">
      <c r="D142" s="126"/>
    </row>
    <row r="143">
      <c r="D143" s="126"/>
    </row>
    <row r="144">
      <c r="D144" s="126"/>
    </row>
    <row r="145">
      <c r="D145" s="126"/>
    </row>
    <row r="146">
      <c r="D146" s="126"/>
    </row>
    <row r="147">
      <c r="D147" s="126"/>
    </row>
    <row r="148">
      <c r="D148" s="126"/>
    </row>
    <row r="149">
      <c r="D149" s="126"/>
    </row>
    <row r="150">
      <c r="D150" s="126"/>
    </row>
    <row r="151">
      <c r="D151" s="126"/>
    </row>
    <row r="152">
      <c r="D152" s="126"/>
    </row>
    <row r="153">
      <c r="D153" s="126"/>
    </row>
    <row r="154">
      <c r="D154" s="126"/>
    </row>
    <row r="155">
      <c r="D155" s="126"/>
    </row>
    <row r="156">
      <c r="D156" s="126"/>
    </row>
    <row r="157">
      <c r="D157" s="126"/>
    </row>
    <row r="158">
      <c r="D158" s="126"/>
    </row>
    <row r="159">
      <c r="D159" s="126"/>
    </row>
    <row r="160">
      <c r="D160" s="126"/>
    </row>
    <row r="161">
      <c r="D161" s="126"/>
    </row>
    <row r="162">
      <c r="D162" s="126"/>
    </row>
    <row r="163">
      <c r="D163" s="126"/>
    </row>
    <row r="164">
      <c r="D164" s="126"/>
    </row>
    <row r="165">
      <c r="D165" s="126"/>
    </row>
    <row r="166">
      <c r="D166" s="126"/>
    </row>
    <row r="167">
      <c r="D167" s="126"/>
    </row>
    <row r="168">
      <c r="D168" s="126"/>
    </row>
    <row r="169">
      <c r="D169" s="126"/>
    </row>
    <row r="170">
      <c r="D170" s="126"/>
    </row>
    <row r="171">
      <c r="D171" s="126"/>
    </row>
    <row r="172">
      <c r="D172" s="126"/>
    </row>
    <row r="173">
      <c r="D173" s="126"/>
    </row>
    <row r="174">
      <c r="D174" s="126"/>
    </row>
    <row r="175">
      <c r="D175" s="126"/>
    </row>
    <row r="176">
      <c r="D176" s="126"/>
    </row>
    <row r="177">
      <c r="D177" s="126"/>
    </row>
    <row r="178">
      <c r="D178" s="126"/>
    </row>
    <row r="179">
      <c r="D179" s="126"/>
    </row>
    <row r="180">
      <c r="D180" s="126"/>
    </row>
    <row r="181">
      <c r="D181" s="126"/>
    </row>
    <row r="182">
      <c r="D182" s="126"/>
    </row>
    <row r="183">
      <c r="D183" s="126"/>
    </row>
    <row r="184">
      <c r="D184" s="126"/>
    </row>
    <row r="185">
      <c r="D185" s="126"/>
    </row>
    <row r="186">
      <c r="D186" s="126"/>
    </row>
    <row r="187">
      <c r="D187" s="126"/>
    </row>
    <row r="188">
      <c r="D188" s="126"/>
    </row>
    <row r="189">
      <c r="D189" s="126"/>
    </row>
    <row r="190">
      <c r="D190" s="126"/>
    </row>
    <row r="191">
      <c r="D191" s="126"/>
    </row>
    <row r="192">
      <c r="D192" s="126"/>
    </row>
    <row r="193">
      <c r="D193" s="126"/>
    </row>
    <row r="194">
      <c r="D194" s="126"/>
    </row>
    <row r="195">
      <c r="D195" s="126"/>
    </row>
    <row r="196">
      <c r="D196" s="126"/>
    </row>
    <row r="197">
      <c r="D197" s="126"/>
    </row>
    <row r="198">
      <c r="D198" s="126"/>
    </row>
    <row r="199">
      <c r="D199" s="126"/>
    </row>
    <row r="200">
      <c r="D200" s="126"/>
    </row>
    <row r="201">
      <c r="D201" s="126"/>
    </row>
    <row r="202">
      <c r="D202" s="126"/>
    </row>
    <row r="203">
      <c r="D203" s="126"/>
    </row>
    <row r="204">
      <c r="D204" s="126"/>
    </row>
    <row r="205">
      <c r="D205" s="126"/>
    </row>
    <row r="206">
      <c r="D206" s="126"/>
    </row>
    <row r="207">
      <c r="D207" s="126"/>
    </row>
    <row r="208">
      <c r="D208" s="126"/>
    </row>
    <row r="209">
      <c r="D209" s="126"/>
    </row>
    <row r="210">
      <c r="D210" s="126"/>
    </row>
    <row r="211">
      <c r="D211" s="126"/>
    </row>
    <row r="212">
      <c r="D212" s="126"/>
    </row>
    <row r="213">
      <c r="D213" s="126"/>
    </row>
    <row r="214">
      <c r="D214" s="126"/>
    </row>
    <row r="215">
      <c r="D215" s="126"/>
    </row>
    <row r="216">
      <c r="D216" s="126"/>
    </row>
    <row r="217">
      <c r="D217" s="126"/>
    </row>
    <row r="218">
      <c r="D218" s="126"/>
    </row>
    <row r="219">
      <c r="D219" s="126"/>
    </row>
    <row r="220">
      <c r="D220" s="126"/>
    </row>
    <row r="221">
      <c r="D221" s="126"/>
    </row>
    <row r="222">
      <c r="D222" s="126"/>
    </row>
    <row r="223">
      <c r="D223" s="126"/>
    </row>
    <row r="224">
      <c r="D224" s="126"/>
    </row>
    <row r="225">
      <c r="D225" s="126"/>
    </row>
    <row r="226">
      <c r="D226" s="126"/>
    </row>
    <row r="227">
      <c r="D227" s="126"/>
    </row>
    <row r="228">
      <c r="D228" s="126"/>
    </row>
    <row r="229">
      <c r="D229" s="126"/>
    </row>
    <row r="230">
      <c r="D230" s="126"/>
    </row>
    <row r="231">
      <c r="D231" s="126"/>
    </row>
    <row r="232">
      <c r="D232" s="126"/>
    </row>
    <row r="233">
      <c r="D233" s="126"/>
    </row>
    <row r="234">
      <c r="D234" s="126"/>
    </row>
    <row r="235">
      <c r="D235" s="126"/>
    </row>
    <row r="236">
      <c r="D236" s="126"/>
    </row>
    <row r="237">
      <c r="D237" s="126"/>
    </row>
    <row r="238">
      <c r="D238" s="126"/>
    </row>
    <row r="239">
      <c r="D239" s="126"/>
    </row>
    <row r="240">
      <c r="D240" s="126"/>
    </row>
    <row r="241">
      <c r="D241" s="126"/>
    </row>
    <row r="242">
      <c r="D242" s="126"/>
    </row>
    <row r="243">
      <c r="D243" s="126"/>
    </row>
    <row r="244">
      <c r="D244" s="126"/>
    </row>
    <row r="245">
      <c r="D245" s="126"/>
    </row>
    <row r="246">
      <c r="D246" s="126"/>
    </row>
    <row r="247">
      <c r="D247" s="126"/>
    </row>
    <row r="248">
      <c r="D248" s="126"/>
    </row>
    <row r="249">
      <c r="D249" s="126"/>
    </row>
    <row r="250">
      <c r="D250" s="126"/>
    </row>
    <row r="251">
      <c r="D251" s="126"/>
    </row>
    <row r="252">
      <c r="D252" s="126"/>
    </row>
    <row r="253">
      <c r="D253" s="126"/>
    </row>
    <row r="254">
      <c r="D254" s="126"/>
    </row>
    <row r="255">
      <c r="D255" s="126"/>
    </row>
    <row r="256">
      <c r="D256" s="126"/>
    </row>
    <row r="257">
      <c r="D257" s="126"/>
    </row>
    <row r="258">
      <c r="D258" s="126"/>
    </row>
    <row r="259">
      <c r="D259" s="126"/>
    </row>
    <row r="260">
      <c r="D260" s="126"/>
    </row>
    <row r="261">
      <c r="D261" s="126"/>
    </row>
    <row r="262">
      <c r="D262" s="126"/>
    </row>
    <row r="263">
      <c r="D263" s="126"/>
    </row>
    <row r="264">
      <c r="D264" s="126"/>
    </row>
    <row r="265">
      <c r="D265" s="126"/>
    </row>
    <row r="266">
      <c r="D266" s="126"/>
    </row>
    <row r="267">
      <c r="D267" s="126"/>
    </row>
    <row r="268">
      <c r="D268" s="126"/>
    </row>
    <row r="269">
      <c r="D269" s="126"/>
    </row>
    <row r="270">
      <c r="D270" s="126"/>
    </row>
    <row r="271">
      <c r="D271" s="126"/>
    </row>
    <row r="272">
      <c r="D272" s="126"/>
    </row>
    <row r="273">
      <c r="D273" s="126"/>
    </row>
    <row r="274">
      <c r="D274" s="126"/>
    </row>
    <row r="275">
      <c r="D275" s="126"/>
    </row>
    <row r="276">
      <c r="D276" s="126"/>
    </row>
    <row r="277">
      <c r="D277" s="126"/>
    </row>
    <row r="278">
      <c r="D278" s="126"/>
    </row>
    <row r="279">
      <c r="D279" s="126"/>
    </row>
    <row r="280">
      <c r="D280" s="126"/>
    </row>
    <row r="281">
      <c r="D281" s="126"/>
    </row>
    <row r="282">
      <c r="D282" s="126"/>
    </row>
    <row r="283">
      <c r="D283" s="126"/>
    </row>
    <row r="284">
      <c r="D284" s="126"/>
    </row>
    <row r="285">
      <c r="D285" s="126"/>
    </row>
    <row r="286">
      <c r="D286" s="126"/>
    </row>
    <row r="287">
      <c r="D287" s="126"/>
    </row>
    <row r="288">
      <c r="D288" s="126"/>
    </row>
    <row r="289">
      <c r="D289" s="126"/>
    </row>
    <row r="290">
      <c r="D290" s="126"/>
    </row>
    <row r="291">
      <c r="D291" s="126"/>
    </row>
    <row r="292">
      <c r="D292" s="126"/>
    </row>
    <row r="293">
      <c r="D293" s="126"/>
    </row>
    <row r="294">
      <c r="D294" s="126"/>
    </row>
    <row r="295">
      <c r="D295" s="126"/>
    </row>
    <row r="296">
      <c r="D296" s="126"/>
    </row>
    <row r="297">
      <c r="D297" s="126"/>
    </row>
    <row r="298">
      <c r="D298" s="126"/>
    </row>
    <row r="299">
      <c r="D299" s="126"/>
    </row>
    <row r="300">
      <c r="D300" s="126"/>
    </row>
    <row r="301">
      <c r="D301" s="126"/>
    </row>
    <row r="302">
      <c r="D302" s="126"/>
    </row>
    <row r="303">
      <c r="D303" s="126"/>
    </row>
    <row r="304">
      <c r="D304" s="126"/>
    </row>
    <row r="305">
      <c r="D305" s="126"/>
    </row>
    <row r="306">
      <c r="D306" s="126"/>
    </row>
    <row r="307">
      <c r="D307" s="126"/>
    </row>
    <row r="308">
      <c r="D308" s="126"/>
    </row>
    <row r="309">
      <c r="D309" s="126"/>
    </row>
    <row r="310">
      <c r="D310" s="126"/>
    </row>
    <row r="311">
      <c r="D311" s="126"/>
    </row>
    <row r="312">
      <c r="D312" s="126"/>
    </row>
    <row r="313">
      <c r="D313" s="126"/>
    </row>
    <row r="314">
      <c r="D314" s="126"/>
    </row>
    <row r="315">
      <c r="D315" s="126"/>
    </row>
    <row r="316">
      <c r="D316" s="126"/>
    </row>
    <row r="317">
      <c r="D317" s="126"/>
    </row>
    <row r="318">
      <c r="D318" s="126"/>
    </row>
    <row r="319">
      <c r="D319" s="126"/>
    </row>
    <row r="320">
      <c r="D320" s="126"/>
    </row>
    <row r="321">
      <c r="D321" s="126"/>
    </row>
    <row r="322">
      <c r="D322" s="126"/>
    </row>
    <row r="323">
      <c r="D323" s="126"/>
    </row>
    <row r="324">
      <c r="D324" s="126"/>
    </row>
    <row r="325">
      <c r="D325" s="126"/>
    </row>
    <row r="326">
      <c r="D326" s="126"/>
    </row>
    <row r="327">
      <c r="D327" s="126"/>
    </row>
    <row r="328">
      <c r="D328" s="126"/>
    </row>
    <row r="329">
      <c r="D329" s="126"/>
    </row>
    <row r="330">
      <c r="D330" s="126"/>
    </row>
    <row r="331">
      <c r="D331" s="126"/>
    </row>
    <row r="332">
      <c r="D332" s="126"/>
    </row>
    <row r="333">
      <c r="D333" s="126"/>
    </row>
    <row r="334">
      <c r="D334" s="126"/>
    </row>
    <row r="335">
      <c r="D335" s="126"/>
    </row>
    <row r="336">
      <c r="D336" s="126"/>
    </row>
    <row r="337">
      <c r="D337" s="126"/>
    </row>
    <row r="338">
      <c r="D338" s="126"/>
    </row>
    <row r="339">
      <c r="D339" s="126"/>
    </row>
    <row r="340">
      <c r="D340" s="126"/>
    </row>
    <row r="341">
      <c r="D341" s="126"/>
    </row>
    <row r="342">
      <c r="D342" s="126"/>
    </row>
    <row r="343">
      <c r="D343" s="126"/>
    </row>
    <row r="344">
      <c r="D344" s="126"/>
    </row>
    <row r="345">
      <c r="D345" s="126"/>
    </row>
    <row r="346">
      <c r="D346" s="126"/>
    </row>
    <row r="347">
      <c r="D347" s="126"/>
    </row>
    <row r="348">
      <c r="D348" s="126"/>
    </row>
    <row r="349">
      <c r="D349" s="126"/>
    </row>
    <row r="350">
      <c r="D350" s="126"/>
    </row>
    <row r="351">
      <c r="D351" s="126"/>
    </row>
    <row r="352">
      <c r="D352" s="126"/>
    </row>
    <row r="353">
      <c r="D353" s="126"/>
    </row>
    <row r="354">
      <c r="D354" s="126"/>
    </row>
    <row r="355">
      <c r="D355" s="126"/>
    </row>
    <row r="356">
      <c r="D356" s="126"/>
    </row>
    <row r="357">
      <c r="D357" s="126"/>
    </row>
    <row r="358">
      <c r="D358" s="126"/>
    </row>
    <row r="359">
      <c r="D359" s="126"/>
    </row>
    <row r="360">
      <c r="D360" s="126"/>
    </row>
    <row r="361">
      <c r="D361" s="126"/>
    </row>
    <row r="362">
      <c r="D362" s="126"/>
    </row>
    <row r="363">
      <c r="D363" s="126"/>
    </row>
    <row r="364">
      <c r="D364" s="126"/>
    </row>
    <row r="365">
      <c r="D365" s="126"/>
    </row>
    <row r="366">
      <c r="D366" s="126"/>
    </row>
    <row r="367">
      <c r="D367" s="126"/>
    </row>
    <row r="368">
      <c r="D368" s="126"/>
    </row>
    <row r="369">
      <c r="D369" s="126"/>
    </row>
    <row r="370">
      <c r="D370" s="126"/>
    </row>
    <row r="371">
      <c r="D371" s="126"/>
    </row>
    <row r="372">
      <c r="D372" s="126"/>
    </row>
    <row r="373">
      <c r="D373" s="126"/>
    </row>
    <row r="374">
      <c r="D374" s="126"/>
    </row>
    <row r="375">
      <c r="D375" s="126"/>
    </row>
    <row r="376">
      <c r="D376" s="126"/>
    </row>
    <row r="377">
      <c r="D377" s="126"/>
    </row>
    <row r="378">
      <c r="D378" s="126"/>
    </row>
    <row r="379">
      <c r="D379" s="126"/>
    </row>
    <row r="380">
      <c r="D380" s="126"/>
    </row>
    <row r="381">
      <c r="D381" s="126"/>
    </row>
    <row r="382">
      <c r="D382" s="126"/>
    </row>
    <row r="383">
      <c r="D383" s="126"/>
    </row>
    <row r="384">
      <c r="D384" s="126"/>
    </row>
    <row r="385">
      <c r="D385" s="126"/>
    </row>
    <row r="386">
      <c r="D386" s="126"/>
    </row>
    <row r="387">
      <c r="D387" s="126"/>
    </row>
    <row r="388">
      <c r="D388" s="126"/>
    </row>
    <row r="389">
      <c r="D389" s="126"/>
    </row>
    <row r="390">
      <c r="D390" s="126"/>
    </row>
    <row r="391">
      <c r="D391" s="126"/>
    </row>
    <row r="392">
      <c r="D392" s="126"/>
    </row>
    <row r="393">
      <c r="D393" s="126"/>
    </row>
    <row r="394">
      <c r="D394" s="126"/>
    </row>
    <row r="395">
      <c r="D395" s="126"/>
    </row>
    <row r="396">
      <c r="D396" s="126"/>
    </row>
    <row r="397">
      <c r="D397" s="126"/>
    </row>
    <row r="398">
      <c r="D398" s="126"/>
    </row>
    <row r="399">
      <c r="D399" s="126"/>
    </row>
    <row r="400">
      <c r="D400" s="126"/>
    </row>
    <row r="401">
      <c r="D401" s="126"/>
    </row>
    <row r="402">
      <c r="D402" s="126"/>
    </row>
    <row r="403">
      <c r="D403" s="126"/>
    </row>
    <row r="404">
      <c r="D404" s="126"/>
    </row>
    <row r="405">
      <c r="D405" s="126"/>
    </row>
    <row r="406">
      <c r="D406" s="126"/>
    </row>
    <row r="407">
      <c r="D407" s="126"/>
    </row>
    <row r="408">
      <c r="D408" s="126"/>
    </row>
    <row r="409">
      <c r="D409" s="126"/>
    </row>
    <row r="410">
      <c r="D410" s="126"/>
    </row>
    <row r="411">
      <c r="D411" s="126"/>
    </row>
    <row r="412">
      <c r="D412" s="126"/>
    </row>
    <row r="413">
      <c r="D413" s="126"/>
    </row>
    <row r="414">
      <c r="D414" s="126"/>
    </row>
    <row r="415">
      <c r="D415" s="126"/>
    </row>
    <row r="416">
      <c r="D416" s="126"/>
    </row>
    <row r="417">
      <c r="D417" s="126"/>
    </row>
    <row r="418">
      <c r="D418" s="126"/>
    </row>
    <row r="419">
      <c r="D419" s="126"/>
    </row>
    <row r="420">
      <c r="D420" s="126"/>
    </row>
    <row r="421">
      <c r="D421" s="126"/>
    </row>
    <row r="422">
      <c r="D422" s="126"/>
    </row>
    <row r="423">
      <c r="D423" s="126"/>
    </row>
    <row r="424">
      <c r="D424" s="126"/>
    </row>
    <row r="425">
      <c r="D425" s="126"/>
    </row>
    <row r="426">
      <c r="D426" s="126"/>
    </row>
    <row r="427">
      <c r="D427" s="126"/>
    </row>
    <row r="428">
      <c r="D428" s="126"/>
    </row>
    <row r="429">
      <c r="D429" s="126"/>
    </row>
    <row r="430">
      <c r="D430" s="126"/>
    </row>
    <row r="431">
      <c r="D431" s="126"/>
    </row>
    <row r="432">
      <c r="D432" s="126"/>
    </row>
    <row r="433">
      <c r="D433" s="126"/>
    </row>
    <row r="434">
      <c r="D434" s="126"/>
    </row>
    <row r="435">
      <c r="D435" s="126"/>
    </row>
    <row r="436">
      <c r="D436" s="126"/>
    </row>
    <row r="437">
      <c r="D437" s="126"/>
    </row>
    <row r="438">
      <c r="D438" s="126"/>
    </row>
    <row r="439">
      <c r="D439" s="126"/>
    </row>
    <row r="440">
      <c r="D440" s="126"/>
    </row>
    <row r="441">
      <c r="D441" s="126"/>
    </row>
    <row r="442">
      <c r="D442" s="126"/>
    </row>
    <row r="443">
      <c r="D443" s="126"/>
    </row>
    <row r="444">
      <c r="D444" s="126"/>
    </row>
    <row r="445">
      <c r="D445" s="126"/>
    </row>
    <row r="446">
      <c r="D446" s="126"/>
    </row>
    <row r="447">
      <c r="D447" s="126"/>
    </row>
    <row r="448">
      <c r="D448" s="126"/>
    </row>
    <row r="449">
      <c r="D449" s="126"/>
    </row>
    <row r="450">
      <c r="D450" s="126"/>
    </row>
    <row r="451">
      <c r="D451" s="126"/>
    </row>
    <row r="452">
      <c r="D452" s="126"/>
    </row>
    <row r="453">
      <c r="D453" s="126"/>
    </row>
    <row r="454">
      <c r="D454" s="126"/>
    </row>
    <row r="455">
      <c r="D455" s="126"/>
    </row>
    <row r="456">
      <c r="D456" s="126"/>
    </row>
    <row r="457">
      <c r="D457" s="126"/>
    </row>
    <row r="458">
      <c r="D458" s="126"/>
    </row>
    <row r="459">
      <c r="D459" s="126"/>
    </row>
    <row r="460">
      <c r="D460" s="126"/>
    </row>
    <row r="461">
      <c r="D461" s="126"/>
    </row>
    <row r="462">
      <c r="D462" s="126"/>
    </row>
    <row r="463">
      <c r="D463" s="126"/>
    </row>
    <row r="464">
      <c r="D464" s="126"/>
    </row>
    <row r="465">
      <c r="D465" s="126"/>
    </row>
    <row r="466">
      <c r="D466" s="126"/>
    </row>
    <row r="467">
      <c r="D467" s="126"/>
    </row>
    <row r="468">
      <c r="D468" s="126"/>
    </row>
    <row r="469">
      <c r="D469" s="126"/>
    </row>
    <row r="470">
      <c r="D470" s="126"/>
    </row>
    <row r="471">
      <c r="D471" s="126"/>
    </row>
    <row r="472">
      <c r="D472" s="126"/>
    </row>
    <row r="473">
      <c r="D473" s="126"/>
    </row>
    <row r="474">
      <c r="D474" s="126"/>
    </row>
    <row r="475">
      <c r="D475" s="126"/>
    </row>
    <row r="476">
      <c r="D476" s="126"/>
    </row>
    <row r="477">
      <c r="D477" s="126"/>
    </row>
    <row r="478">
      <c r="D478" s="126"/>
    </row>
    <row r="479">
      <c r="D479" s="126"/>
    </row>
    <row r="480">
      <c r="D480" s="126"/>
    </row>
    <row r="481">
      <c r="D481" s="126"/>
    </row>
    <row r="482">
      <c r="D482" s="126"/>
    </row>
    <row r="483">
      <c r="D483" s="126"/>
    </row>
    <row r="484">
      <c r="D484" s="126"/>
    </row>
    <row r="485">
      <c r="D485" s="126"/>
    </row>
    <row r="486">
      <c r="D486" s="126"/>
    </row>
    <row r="487">
      <c r="D487" s="126"/>
    </row>
    <row r="488">
      <c r="D488" s="126"/>
    </row>
    <row r="489">
      <c r="D489" s="126"/>
    </row>
    <row r="490">
      <c r="D490" s="126"/>
    </row>
    <row r="491">
      <c r="D491" s="126"/>
    </row>
    <row r="492">
      <c r="D492" s="126"/>
    </row>
    <row r="493">
      <c r="D493" s="126"/>
    </row>
    <row r="494">
      <c r="D494" s="126"/>
    </row>
    <row r="495">
      <c r="D495" s="126"/>
    </row>
    <row r="496">
      <c r="D496" s="126"/>
    </row>
    <row r="497">
      <c r="D497" s="126"/>
    </row>
    <row r="498">
      <c r="D498" s="126"/>
    </row>
    <row r="499">
      <c r="D499" s="126"/>
    </row>
    <row r="500">
      <c r="D500" s="126"/>
    </row>
    <row r="501">
      <c r="D501" s="126"/>
    </row>
    <row r="502">
      <c r="D502" s="126"/>
    </row>
    <row r="503">
      <c r="D503" s="126"/>
    </row>
    <row r="504">
      <c r="D504" s="126"/>
    </row>
    <row r="505">
      <c r="D505" s="126"/>
    </row>
    <row r="506">
      <c r="D506" s="126"/>
    </row>
    <row r="507">
      <c r="D507" s="126"/>
    </row>
    <row r="508">
      <c r="D508" s="126"/>
    </row>
    <row r="509">
      <c r="D509" s="126"/>
    </row>
    <row r="510">
      <c r="D510" s="126"/>
    </row>
    <row r="511">
      <c r="D511" s="126"/>
    </row>
    <row r="512">
      <c r="D512" s="126"/>
    </row>
    <row r="513">
      <c r="D513" s="126"/>
    </row>
    <row r="514">
      <c r="D514" s="126"/>
    </row>
    <row r="515">
      <c r="D515" s="126"/>
    </row>
    <row r="516">
      <c r="D516" s="126"/>
    </row>
    <row r="517">
      <c r="D517" s="126"/>
    </row>
    <row r="518">
      <c r="D518" s="126"/>
    </row>
    <row r="519">
      <c r="D519" s="126"/>
    </row>
    <row r="520">
      <c r="D520" s="126"/>
    </row>
    <row r="521">
      <c r="D521" s="126"/>
    </row>
    <row r="522">
      <c r="D522" s="126"/>
    </row>
    <row r="523">
      <c r="D523" s="126"/>
    </row>
    <row r="524">
      <c r="D524" s="126"/>
    </row>
    <row r="525">
      <c r="D525" s="126"/>
    </row>
    <row r="526">
      <c r="D526" s="126"/>
    </row>
    <row r="527">
      <c r="D527" s="126"/>
    </row>
    <row r="528">
      <c r="D528" s="126"/>
    </row>
    <row r="529">
      <c r="D529" s="126"/>
    </row>
    <row r="530">
      <c r="D530" s="126"/>
    </row>
    <row r="531">
      <c r="D531" s="126"/>
    </row>
    <row r="532">
      <c r="D532" s="126"/>
    </row>
    <row r="533">
      <c r="D533" s="126"/>
    </row>
    <row r="534">
      <c r="D534" s="126"/>
    </row>
    <row r="535">
      <c r="D535" s="126"/>
    </row>
    <row r="536">
      <c r="D536" s="126"/>
    </row>
    <row r="537">
      <c r="D537" s="126"/>
    </row>
    <row r="538">
      <c r="D538" s="126"/>
    </row>
    <row r="539">
      <c r="D539" s="126"/>
    </row>
    <row r="540">
      <c r="D540" s="126"/>
    </row>
    <row r="541">
      <c r="D541" s="126"/>
    </row>
    <row r="542">
      <c r="D542" s="126"/>
    </row>
    <row r="543">
      <c r="D543" s="126"/>
    </row>
    <row r="544">
      <c r="D544" s="126"/>
    </row>
    <row r="545">
      <c r="D545" s="126"/>
    </row>
    <row r="546">
      <c r="D546" s="126"/>
    </row>
    <row r="547">
      <c r="D547" s="126"/>
    </row>
    <row r="548">
      <c r="D548" s="126"/>
    </row>
    <row r="549">
      <c r="D549" s="126"/>
    </row>
    <row r="550">
      <c r="D550" s="126"/>
    </row>
    <row r="551">
      <c r="D551" s="126"/>
    </row>
    <row r="552">
      <c r="D552" s="126"/>
    </row>
    <row r="553">
      <c r="D553" s="126"/>
    </row>
    <row r="554">
      <c r="D554" s="126"/>
    </row>
    <row r="555">
      <c r="D555" s="126"/>
    </row>
    <row r="556">
      <c r="D556" s="126"/>
    </row>
    <row r="557">
      <c r="D557" s="126"/>
    </row>
    <row r="558">
      <c r="D558" s="126"/>
    </row>
    <row r="559">
      <c r="D559" s="126"/>
    </row>
    <row r="560">
      <c r="D560" s="126"/>
    </row>
    <row r="561">
      <c r="D561" s="126"/>
    </row>
    <row r="562">
      <c r="D562" s="126"/>
    </row>
    <row r="563">
      <c r="D563" s="126"/>
    </row>
    <row r="564">
      <c r="D564" s="126"/>
    </row>
    <row r="565">
      <c r="D565" s="126"/>
    </row>
    <row r="566">
      <c r="D566" s="126"/>
    </row>
    <row r="567">
      <c r="D567" s="126"/>
    </row>
    <row r="568">
      <c r="D568" s="126"/>
    </row>
    <row r="569">
      <c r="D569" s="126"/>
    </row>
    <row r="570">
      <c r="D570" s="126"/>
    </row>
    <row r="571">
      <c r="D571" s="126"/>
    </row>
    <row r="572">
      <c r="D572" s="126"/>
    </row>
    <row r="573">
      <c r="D573" s="126"/>
    </row>
    <row r="574">
      <c r="D574" s="126"/>
    </row>
    <row r="575">
      <c r="D575" s="126"/>
    </row>
    <row r="576">
      <c r="D576" s="126"/>
    </row>
    <row r="577">
      <c r="D577" s="126"/>
    </row>
    <row r="578">
      <c r="D578" s="126"/>
    </row>
    <row r="579">
      <c r="D579" s="126"/>
    </row>
    <row r="580">
      <c r="D580" s="126"/>
    </row>
    <row r="581">
      <c r="D581" s="126"/>
    </row>
    <row r="582">
      <c r="D582" s="126"/>
    </row>
    <row r="583">
      <c r="D583" s="126"/>
    </row>
    <row r="584">
      <c r="D584" s="126"/>
    </row>
    <row r="585">
      <c r="D585" s="126"/>
    </row>
    <row r="586">
      <c r="D586" s="126"/>
    </row>
    <row r="587">
      <c r="D587" s="126"/>
    </row>
    <row r="588">
      <c r="D588" s="126"/>
    </row>
    <row r="589">
      <c r="D589" s="126"/>
    </row>
    <row r="590">
      <c r="D590" s="126"/>
    </row>
    <row r="591">
      <c r="D591" s="126"/>
    </row>
    <row r="592">
      <c r="D592" s="126"/>
    </row>
    <row r="593">
      <c r="D593" s="126"/>
    </row>
    <row r="594">
      <c r="D594" s="126"/>
    </row>
    <row r="595">
      <c r="D595" s="126"/>
    </row>
    <row r="596">
      <c r="D596" s="126"/>
    </row>
    <row r="597">
      <c r="D597" s="126"/>
    </row>
    <row r="598">
      <c r="D598" s="126"/>
    </row>
    <row r="599">
      <c r="D599" s="126"/>
    </row>
    <row r="600">
      <c r="D600" s="126"/>
    </row>
    <row r="601">
      <c r="D601" s="126"/>
    </row>
    <row r="602">
      <c r="D602" s="126"/>
    </row>
    <row r="603">
      <c r="D603" s="126"/>
    </row>
    <row r="604">
      <c r="D604" s="126"/>
    </row>
    <row r="605">
      <c r="D605" s="126"/>
    </row>
    <row r="606">
      <c r="D606" s="126"/>
    </row>
    <row r="607">
      <c r="D607" s="126"/>
    </row>
    <row r="608">
      <c r="D608" s="126"/>
    </row>
    <row r="609">
      <c r="D609" s="126"/>
    </row>
    <row r="610">
      <c r="D610" s="126"/>
    </row>
    <row r="611">
      <c r="D611" s="126"/>
    </row>
    <row r="612">
      <c r="D612" s="126"/>
    </row>
    <row r="613">
      <c r="D613" s="126"/>
    </row>
    <row r="614">
      <c r="D614" s="126"/>
    </row>
    <row r="615">
      <c r="D615" s="126"/>
    </row>
    <row r="616">
      <c r="D616" s="126"/>
    </row>
    <row r="617">
      <c r="D617" s="126"/>
    </row>
    <row r="618">
      <c r="D618" s="126"/>
    </row>
    <row r="619">
      <c r="D619" s="126"/>
    </row>
    <row r="620">
      <c r="D620" s="126"/>
    </row>
    <row r="621">
      <c r="D621" s="126"/>
    </row>
    <row r="622">
      <c r="D622" s="126"/>
    </row>
    <row r="623">
      <c r="D623" s="126"/>
    </row>
    <row r="624">
      <c r="D624" s="126"/>
    </row>
    <row r="625">
      <c r="D625" s="126"/>
    </row>
    <row r="626">
      <c r="D626" s="126"/>
    </row>
    <row r="627">
      <c r="D627" s="126"/>
    </row>
    <row r="628">
      <c r="D628" s="126"/>
    </row>
    <row r="629">
      <c r="D629" s="126"/>
    </row>
    <row r="630">
      <c r="D630" s="126"/>
    </row>
    <row r="631">
      <c r="D631" s="126"/>
    </row>
    <row r="632">
      <c r="D632" s="126"/>
    </row>
    <row r="633">
      <c r="D633" s="126"/>
    </row>
    <row r="634">
      <c r="D634" s="126"/>
    </row>
    <row r="635">
      <c r="D635" s="126"/>
    </row>
    <row r="636">
      <c r="D636" s="126"/>
    </row>
    <row r="637">
      <c r="D637" s="126"/>
    </row>
    <row r="638">
      <c r="D638" s="126"/>
    </row>
    <row r="639">
      <c r="D639" s="126"/>
    </row>
    <row r="640">
      <c r="D640" s="126"/>
    </row>
    <row r="641">
      <c r="D641" s="126"/>
    </row>
    <row r="642">
      <c r="D642" s="126"/>
    </row>
    <row r="643">
      <c r="D643" s="126"/>
    </row>
    <row r="644">
      <c r="D644" s="126"/>
    </row>
    <row r="645">
      <c r="D645" s="126"/>
    </row>
    <row r="646">
      <c r="D646" s="126"/>
    </row>
    <row r="647">
      <c r="D647" s="126"/>
    </row>
    <row r="648">
      <c r="D648" s="126"/>
    </row>
    <row r="649">
      <c r="D649" s="126"/>
    </row>
    <row r="650">
      <c r="D650" s="126"/>
    </row>
    <row r="651">
      <c r="D651" s="126"/>
    </row>
    <row r="652">
      <c r="D652" s="126"/>
    </row>
    <row r="653">
      <c r="D653" s="126"/>
    </row>
    <row r="654">
      <c r="D654" s="126"/>
    </row>
    <row r="655">
      <c r="D655" s="126"/>
    </row>
    <row r="656">
      <c r="D656" s="126"/>
    </row>
    <row r="657">
      <c r="D657" s="126"/>
    </row>
    <row r="658">
      <c r="D658" s="126"/>
    </row>
    <row r="659">
      <c r="D659" s="126"/>
    </row>
    <row r="660">
      <c r="D660" s="126"/>
    </row>
    <row r="661">
      <c r="D661" s="126"/>
    </row>
    <row r="662">
      <c r="D662" s="126"/>
    </row>
    <row r="663">
      <c r="D663" s="126"/>
    </row>
    <row r="664">
      <c r="D664" s="126"/>
    </row>
    <row r="665">
      <c r="D665" s="126"/>
    </row>
    <row r="666">
      <c r="D666" s="126"/>
    </row>
    <row r="667">
      <c r="D667" s="126"/>
    </row>
    <row r="668">
      <c r="D668" s="126"/>
    </row>
    <row r="669">
      <c r="D669" s="126"/>
    </row>
    <row r="670">
      <c r="D670" s="126"/>
    </row>
    <row r="671">
      <c r="D671" s="126"/>
    </row>
    <row r="672">
      <c r="D672" s="126"/>
    </row>
    <row r="673">
      <c r="D673" s="126"/>
    </row>
    <row r="674">
      <c r="D674" s="126"/>
    </row>
    <row r="675">
      <c r="D675" s="126"/>
    </row>
    <row r="676">
      <c r="D676" s="126"/>
    </row>
    <row r="677">
      <c r="D677" s="126"/>
    </row>
    <row r="678">
      <c r="D678" s="126"/>
    </row>
    <row r="679">
      <c r="D679" s="126"/>
    </row>
    <row r="680">
      <c r="D680" s="126"/>
    </row>
    <row r="681">
      <c r="D681" s="126"/>
    </row>
    <row r="682">
      <c r="D682" s="126"/>
    </row>
    <row r="683">
      <c r="D683" s="126"/>
    </row>
    <row r="684">
      <c r="D684" s="126"/>
    </row>
    <row r="685">
      <c r="D685" s="126"/>
    </row>
    <row r="686">
      <c r="D686" s="126"/>
    </row>
    <row r="687">
      <c r="D687" s="126"/>
    </row>
    <row r="688">
      <c r="D688" s="126"/>
    </row>
    <row r="689">
      <c r="D689" s="126"/>
    </row>
    <row r="690">
      <c r="D690" s="126"/>
    </row>
    <row r="691">
      <c r="D691" s="126"/>
    </row>
    <row r="692">
      <c r="D692" s="126"/>
    </row>
    <row r="693">
      <c r="D693" s="126"/>
    </row>
    <row r="694">
      <c r="D694" s="126"/>
    </row>
    <row r="695">
      <c r="D695" s="126"/>
    </row>
    <row r="696">
      <c r="D696" s="126"/>
    </row>
    <row r="697">
      <c r="D697" s="126"/>
    </row>
    <row r="698">
      <c r="D698" s="126"/>
    </row>
    <row r="699">
      <c r="D699" s="126"/>
    </row>
    <row r="700">
      <c r="D700" s="126"/>
    </row>
    <row r="701">
      <c r="D701" s="126"/>
    </row>
    <row r="702">
      <c r="D702" s="126"/>
    </row>
    <row r="703">
      <c r="D703" s="126"/>
    </row>
    <row r="704">
      <c r="D704" s="126"/>
    </row>
    <row r="705">
      <c r="D705" s="126"/>
    </row>
    <row r="706">
      <c r="D706" s="126"/>
    </row>
    <row r="707">
      <c r="D707" s="126"/>
    </row>
    <row r="708">
      <c r="D708" s="126"/>
    </row>
    <row r="709">
      <c r="D709" s="126"/>
    </row>
    <row r="710">
      <c r="D710" s="126"/>
    </row>
    <row r="711">
      <c r="D711" s="126"/>
    </row>
    <row r="712">
      <c r="D712" s="126"/>
    </row>
    <row r="713">
      <c r="D713" s="126"/>
    </row>
    <row r="714">
      <c r="D714" s="126"/>
    </row>
    <row r="715">
      <c r="D715" s="126"/>
    </row>
    <row r="716">
      <c r="D716" s="126"/>
    </row>
    <row r="717">
      <c r="D717" s="126"/>
    </row>
    <row r="718">
      <c r="D718" s="126"/>
    </row>
    <row r="719">
      <c r="D719" s="126"/>
    </row>
    <row r="720">
      <c r="D720" s="126"/>
    </row>
    <row r="721">
      <c r="D721" s="126"/>
    </row>
    <row r="722">
      <c r="D722" s="126"/>
    </row>
    <row r="723">
      <c r="D723" s="126"/>
    </row>
    <row r="724">
      <c r="D724" s="126"/>
    </row>
    <row r="725">
      <c r="D725" s="126"/>
    </row>
    <row r="726">
      <c r="D726" s="126"/>
    </row>
    <row r="727">
      <c r="D727" s="126"/>
    </row>
    <row r="728">
      <c r="D728" s="126"/>
    </row>
    <row r="729">
      <c r="D729" s="126"/>
    </row>
    <row r="730">
      <c r="D730" s="126"/>
    </row>
    <row r="731">
      <c r="D731" s="126"/>
    </row>
    <row r="732">
      <c r="D732" s="126"/>
    </row>
    <row r="733">
      <c r="D733" s="126"/>
    </row>
    <row r="734">
      <c r="D734" s="126"/>
    </row>
    <row r="735">
      <c r="D735" s="126"/>
    </row>
    <row r="736">
      <c r="D736" s="126"/>
    </row>
    <row r="737">
      <c r="D737" s="126"/>
    </row>
    <row r="738">
      <c r="D738" s="126"/>
    </row>
    <row r="739">
      <c r="D739" s="126"/>
    </row>
    <row r="740">
      <c r="D740" s="126"/>
    </row>
    <row r="741">
      <c r="D741" s="126"/>
    </row>
    <row r="742">
      <c r="D742" s="126"/>
    </row>
    <row r="743">
      <c r="D743" s="126"/>
    </row>
    <row r="744">
      <c r="D744" s="126"/>
    </row>
    <row r="745">
      <c r="D745" s="126"/>
    </row>
    <row r="746">
      <c r="D746" s="126"/>
    </row>
    <row r="747">
      <c r="D747" s="126"/>
    </row>
    <row r="748">
      <c r="D748" s="126"/>
    </row>
    <row r="749">
      <c r="D749" s="126"/>
    </row>
    <row r="750">
      <c r="D750" s="126"/>
    </row>
    <row r="751">
      <c r="D751" s="126"/>
    </row>
    <row r="752">
      <c r="D752" s="126"/>
    </row>
    <row r="753">
      <c r="D753" s="126"/>
    </row>
    <row r="754">
      <c r="D754" s="126"/>
    </row>
    <row r="755">
      <c r="D755" s="126"/>
    </row>
    <row r="756">
      <c r="D756" s="126"/>
    </row>
    <row r="757">
      <c r="D757" s="126"/>
    </row>
    <row r="758">
      <c r="D758" s="126"/>
    </row>
    <row r="759">
      <c r="D759" s="126"/>
    </row>
    <row r="760">
      <c r="D760" s="126"/>
    </row>
    <row r="761">
      <c r="D761" s="126"/>
    </row>
    <row r="762">
      <c r="D762" s="126"/>
    </row>
    <row r="763">
      <c r="D763" s="126"/>
    </row>
    <row r="764">
      <c r="D764" s="126"/>
    </row>
    <row r="765">
      <c r="D765" s="126"/>
    </row>
    <row r="766">
      <c r="D766" s="126"/>
    </row>
    <row r="767">
      <c r="D767" s="126"/>
    </row>
    <row r="768">
      <c r="D768" s="126"/>
    </row>
    <row r="769">
      <c r="D769" s="126"/>
    </row>
    <row r="770">
      <c r="D770" s="126"/>
    </row>
    <row r="771">
      <c r="D771" s="126"/>
    </row>
    <row r="772">
      <c r="D772" s="126"/>
    </row>
    <row r="773">
      <c r="D773" s="126"/>
    </row>
    <row r="774">
      <c r="D774" s="126"/>
    </row>
    <row r="775">
      <c r="D775" s="126"/>
    </row>
    <row r="776">
      <c r="D776" s="126"/>
    </row>
    <row r="777">
      <c r="D777" s="126"/>
    </row>
    <row r="778">
      <c r="D778" s="126"/>
    </row>
    <row r="779">
      <c r="D779" s="126"/>
    </row>
    <row r="780">
      <c r="D780" s="126"/>
    </row>
    <row r="781">
      <c r="D781" s="126"/>
    </row>
    <row r="782">
      <c r="D782" s="126"/>
    </row>
    <row r="783">
      <c r="D783" s="126"/>
    </row>
    <row r="784">
      <c r="D784" s="126"/>
    </row>
    <row r="785">
      <c r="D785" s="126"/>
    </row>
    <row r="786">
      <c r="D786" s="126"/>
    </row>
    <row r="787">
      <c r="D787" s="126"/>
    </row>
    <row r="788">
      <c r="D788" s="126"/>
    </row>
    <row r="789">
      <c r="D789" s="126"/>
    </row>
    <row r="790">
      <c r="D790" s="126"/>
    </row>
    <row r="791">
      <c r="D791" s="126"/>
    </row>
    <row r="792">
      <c r="D792" s="126"/>
    </row>
    <row r="793">
      <c r="D793" s="126"/>
    </row>
    <row r="794">
      <c r="D794" s="126"/>
    </row>
    <row r="795">
      <c r="D795" s="126"/>
    </row>
    <row r="796">
      <c r="D796" s="126"/>
    </row>
    <row r="797">
      <c r="D797" s="126"/>
    </row>
    <row r="798">
      <c r="D798" s="126"/>
    </row>
    <row r="799">
      <c r="D799" s="126"/>
    </row>
    <row r="800">
      <c r="D800" s="126"/>
    </row>
    <row r="801">
      <c r="D801" s="126"/>
    </row>
    <row r="802">
      <c r="D802" s="126"/>
    </row>
    <row r="803">
      <c r="D803" s="126"/>
    </row>
    <row r="804">
      <c r="D804" s="126"/>
    </row>
    <row r="805">
      <c r="D805" s="126"/>
    </row>
    <row r="806">
      <c r="D806" s="126"/>
    </row>
    <row r="807">
      <c r="D807" s="126"/>
    </row>
    <row r="808">
      <c r="D808" s="126"/>
    </row>
    <row r="809">
      <c r="D809" s="126"/>
    </row>
    <row r="810">
      <c r="D810" s="126"/>
    </row>
    <row r="811">
      <c r="D811" s="126"/>
    </row>
    <row r="812">
      <c r="D812" s="126"/>
    </row>
    <row r="813">
      <c r="D813" s="126"/>
    </row>
    <row r="814">
      <c r="D814" s="126"/>
    </row>
    <row r="815">
      <c r="D815" s="126"/>
    </row>
    <row r="816">
      <c r="D816" s="126"/>
    </row>
    <row r="817">
      <c r="D817" s="126"/>
    </row>
    <row r="818">
      <c r="D818" s="126"/>
    </row>
    <row r="819">
      <c r="D819" s="126"/>
    </row>
    <row r="820">
      <c r="D820" s="126"/>
    </row>
    <row r="821">
      <c r="D821" s="126"/>
    </row>
    <row r="822">
      <c r="D822" s="126"/>
    </row>
    <row r="823">
      <c r="D823" s="126"/>
    </row>
    <row r="824">
      <c r="D824" s="126"/>
    </row>
    <row r="825">
      <c r="D825" s="126"/>
    </row>
    <row r="826">
      <c r="D826" s="126"/>
    </row>
    <row r="827">
      <c r="D827" s="126"/>
    </row>
    <row r="828">
      <c r="D828" s="126"/>
    </row>
    <row r="829">
      <c r="D829" s="126"/>
    </row>
    <row r="830">
      <c r="D830" s="126"/>
    </row>
    <row r="831">
      <c r="D831" s="126"/>
    </row>
    <row r="832">
      <c r="D832" s="126"/>
    </row>
    <row r="833">
      <c r="D833" s="126"/>
    </row>
    <row r="834">
      <c r="D834" s="126"/>
    </row>
    <row r="835">
      <c r="D835" s="126"/>
    </row>
    <row r="836">
      <c r="D836" s="126"/>
    </row>
    <row r="837">
      <c r="D837" s="126"/>
    </row>
    <row r="838">
      <c r="D838" s="126"/>
    </row>
    <row r="839">
      <c r="D839" s="126"/>
    </row>
    <row r="840">
      <c r="D840" s="126"/>
    </row>
    <row r="841">
      <c r="D841" s="126"/>
    </row>
    <row r="842">
      <c r="D842" s="126"/>
    </row>
    <row r="843">
      <c r="D843" s="126"/>
    </row>
    <row r="844">
      <c r="D844" s="126"/>
    </row>
    <row r="845">
      <c r="D845" s="126"/>
    </row>
    <row r="846">
      <c r="D846" s="126"/>
    </row>
    <row r="847">
      <c r="D847" s="126"/>
    </row>
    <row r="848">
      <c r="D848" s="126"/>
    </row>
    <row r="849">
      <c r="D849" s="126"/>
    </row>
    <row r="850">
      <c r="D850" s="126"/>
    </row>
    <row r="851">
      <c r="D851" s="126"/>
    </row>
    <row r="852">
      <c r="D852" s="126"/>
    </row>
    <row r="853">
      <c r="D853" s="126"/>
    </row>
    <row r="854">
      <c r="D854" s="126"/>
    </row>
    <row r="855">
      <c r="D855" s="126"/>
    </row>
    <row r="856">
      <c r="D856" s="126"/>
    </row>
    <row r="857">
      <c r="D857" s="126"/>
    </row>
    <row r="858">
      <c r="D858" s="126"/>
    </row>
    <row r="859">
      <c r="D859" s="126"/>
    </row>
    <row r="860">
      <c r="D860" s="126"/>
    </row>
    <row r="861">
      <c r="D861" s="126"/>
    </row>
    <row r="862">
      <c r="D862" s="126"/>
    </row>
    <row r="863">
      <c r="D863" s="126"/>
    </row>
    <row r="864">
      <c r="D864" s="126"/>
    </row>
    <row r="865">
      <c r="D865" s="126"/>
    </row>
    <row r="866">
      <c r="D866" s="126"/>
    </row>
    <row r="867">
      <c r="D867" s="126"/>
    </row>
    <row r="868">
      <c r="D868" s="126"/>
    </row>
    <row r="869">
      <c r="D869" s="126"/>
    </row>
    <row r="870">
      <c r="D870" s="126"/>
    </row>
    <row r="871">
      <c r="D871" s="126"/>
    </row>
    <row r="872">
      <c r="D872" s="126"/>
    </row>
    <row r="873">
      <c r="D873" s="126"/>
    </row>
    <row r="874">
      <c r="D874" s="126"/>
    </row>
    <row r="875">
      <c r="D875" s="126"/>
    </row>
    <row r="876">
      <c r="D876" s="126"/>
    </row>
    <row r="877">
      <c r="D877" s="126"/>
    </row>
    <row r="878">
      <c r="D878" s="126"/>
    </row>
    <row r="879">
      <c r="D879" s="126"/>
    </row>
    <row r="880">
      <c r="D880" s="126"/>
    </row>
    <row r="881">
      <c r="D881" s="126"/>
    </row>
    <row r="882">
      <c r="D882" s="126"/>
    </row>
    <row r="883">
      <c r="D883" s="126"/>
    </row>
    <row r="884">
      <c r="D884" s="126"/>
    </row>
    <row r="885">
      <c r="D885" s="126"/>
    </row>
    <row r="886">
      <c r="D886" s="126"/>
    </row>
    <row r="887">
      <c r="D887" s="126"/>
    </row>
    <row r="888">
      <c r="D888" s="126"/>
    </row>
    <row r="889">
      <c r="D889" s="126"/>
    </row>
    <row r="890">
      <c r="D890" s="126"/>
    </row>
    <row r="891">
      <c r="D891" s="126"/>
    </row>
    <row r="892">
      <c r="D892" s="126"/>
    </row>
    <row r="893">
      <c r="D893" s="126"/>
    </row>
    <row r="894">
      <c r="D894" s="126"/>
    </row>
    <row r="895">
      <c r="D895" s="126"/>
    </row>
    <row r="896">
      <c r="D896" s="126"/>
    </row>
    <row r="897">
      <c r="D897" s="126"/>
    </row>
    <row r="898">
      <c r="D898" s="126"/>
    </row>
    <row r="899">
      <c r="D899" s="126"/>
    </row>
    <row r="900">
      <c r="D900" s="126"/>
    </row>
    <row r="901">
      <c r="D901" s="126"/>
    </row>
    <row r="902">
      <c r="D902" s="126"/>
    </row>
    <row r="903">
      <c r="D903" s="126"/>
    </row>
    <row r="904">
      <c r="D904" s="126"/>
    </row>
    <row r="905">
      <c r="D905" s="126"/>
    </row>
    <row r="906">
      <c r="D906" s="126"/>
    </row>
    <row r="907">
      <c r="D907" s="126"/>
    </row>
    <row r="908">
      <c r="D908" s="126"/>
    </row>
    <row r="909">
      <c r="D909" s="126"/>
    </row>
    <row r="910">
      <c r="D910" s="126"/>
    </row>
    <row r="911">
      <c r="D911" s="126"/>
    </row>
    <row r="912">
      <c r="D912" s="126"/>
    </row>
    <row r="913">
      <c r="D913" s="126"/>
    </row>
    <row r="914">
      <c r="D914" s="126"/>
    </row>
    <row r="915">
      <c r="D915" s="126"/>
    </row>
    <row r="916">
      <c r="D916" s="126"/>
    </row>
    <row r="917">
      <c r="D917" s="126"/>
    </row>
    <row r="918">
      <c r="D918" s="126"/>
    </row>
    <row r="919">
      <c r="D919" s="126"/>
    </row>
    <row r="920">
      <c r="D920" s="126"/>
    </row>
    <row r="921">
      <c r="D921" s="126"/>
    </row>
    <row r="922">
      <c r="D922" s="126"/>
    </row>
    <row r="923">
      <c r="D923" s="126"/>
    </row>
    <row r="924">
      <c r="D924" s="126"/>
    </row>
    <row r="925">
      <c r="D925" s="126"/>
    </row>
    <row r="926">
      <c r="D926" s="126"/>
    </row>
    <row r="927">
      <c r="D927" s="126"/>
    </row>
    <row r="928">
      <c r="D928" s="126"/>
    </row>
    <row r="929">
      <c r="D929" s="126"/>
    </row>
    <row r="930">
      <c r="D930" s="126"/>
    </row>
    <row r="931">
      <c r="D931" s="126"/>
    </row>
    <row r="932">
      <c r="D932" s="126"/>
    </row>
    <row r="933">
      <c r="D933" s="126"/>
    </row>
    <row r="934">
      <c r="D934" s="126"/>
    </row>
    <row r="935">
      <c r="D935" s="126"/>
    </row>
    <row r="936">
      <c r="D936" s="126"/>
    </row>
    <row r="937">
      <c r="D937" s="126"/>
    </row>
    <row r="938">
      <c r="D938" s="126"/>
    </row>
    <row r="939">
      <c r="D939" s="126"/>
    </row>
    <row r="940">
      <c r="D940" s="126"/>
    </row>
    <row r="941">
      <c r="D941" s="126"/>
    </row>
    <row r="942">
      <c r="D942" s="126"/>
    </row>
    <row r="943">
      <c r="D943" s="126"/>
    </row>
    <row r="944">
      <c r="D944" s="126"/>
    </row>
    <row r="945">
      <c r="D945" s="126"/>
    </row>
    <row r="946">
      <c r="D946" s="126"/>
    </row>
    <row r="947">
      <c r="D947" s="126"/>
    </row>
    <row r="948">
      <c r="D948" s="126"/>
    </row>
    <row r="949">
      <c r="D949" s="126"/>
    </row>
    <row r="950">
      <c r="D950" s="126"/>
    </row>
    <row r="951">
      <c r="D951" s="126"/>
    </row>
    <row r="952">
      <c r="D952" s="126"/>
    </row>
    <row r="953">
      <c r="D953" s="126"/>
    </row>
    <row r="954">
      <c r="D954" s="126"/>
    </row>
    <row r="955">
      <c r="D955" s="126"/>
    </row>
    <row r="956">
      <c r="D956" s="126"/>
    </row>
    <row r="957">
      <c r="D957" s="126"/>
    </row>
    <row r="958">
      <c r="D958" s="126"/>
    </row>
    <row r="959">
      <c r="D959" s="126"/>
    </row>
    <row r="960">
      <c r="D960" s="126"/>
    </row>
    <row r="961">
      <c r="D961" s="126"/>
    </row>
    <row r="962">
      <c r="D962" s="126"/>
    </row>
    <row r="963">
      <c r="D963" s="126"/>
    </row>
    <row r="964">
      <c r="D964" s="126"/>
    </row>
    <row r="965">
      <c r="D965" s="126"/>
    </row>
    <row r="966">
      <c r="D966" s="126"/>
    </row>
    <row r="967">
      <c r="D967" s="126"/>
    </row>
    <row r="968">
      <c r="D968" s="126"/>
    </row>
    <row r="969">
      <c r="D969" s="126"/>
    </row>
    <row r="970">
      <c r="D970" s="126"/>
    </row>
    <row r="971">
      <c r="D971" s="126"/>
    </row>
    <row r="972">
      <c r="D972" s="126"/>
    </row>
    <row r="973">
      <c r="D973" s="126"/>
    </row>
    <row r="974">
      <c r="D974" s="126"/>
    </row>
    <row r="975">
      <c r="D975" s="126"/>
    </row>
    <row r="976">
      <c r="D976" s="126"/>
    </row>
    <row r="977">
      <c r="D977" s="126"/>
    </row>
    <row r="978">
      <c r="D978" s="126"/>
    </row>
    <row r="979">
      <c r="D979" s="126"/>
    </row>
    <row r="980">
      <c r="D980" s="126"/>
    </row>
    <row r="981">
      <c r="D981" s="126"/>
    </row>
    <row r="982">
      <c r="D982" s="126"/>
    </row>
    <row r="983">
      <c r="D983" s="126"/>
    </row>
    <row r="984">
      <c r="D984" s="126"/>
    </row>
    <row r="985">
      <c r="D985" s="126"/>
    </row>
    <row r="986">
      <c r="D986" s="126"/>
    </row>
    <row r="987">
      <c r="D987" s="126"/>
    </row>
    <row r="988">
      <c r="D988" s="126"/>
    </row>
    <row r="989">
      <c r="D989" s="126"/>
    </row>
    <row r="990">
      <c r="D990" s="126"/>
    </row>
    <row r="991">
      <c r="D991" s="126"/>
    </row>
    <row r="992">
      <c r="D992" s="126"/>
    </row>
    <row r="993">
      <c r="D993" s="126"/>
    </row>
    <row r="994">
      <c r="D994" s="126"/>
    </row>
    <row r="995">
      <c r="D995" s="126"/>
    </row>
    <row r="996">
      <c r="D996" s="126"/>
    </row>
    <row r="997">
      <c r="D997" s="126"/>
    </row>
    <row r="998">
      <c r="D998" s="126"/>
    </row>
    <row r="999">
      <c r="D999" s="126"/>
    </row>
    <row r="1000">
      <c r="D1000" s="126"/>
    </row>
    <row r="1001">
      <c r="D1001" s="126"/>
    </row>
    <row r="1002">
      <c r="D1002" s="126"/>
    </row>
    <row r="1003">
      <c r="D1003" s="126"/>
    </row>
    <row r="1004">
      <c r="D1004" s="126"/>
    </row>
    <row r="1005">
      <c r="D1005" s="126"/>
    </row>
    <row r="1006">
      <c r="D1006" s="126"/>
    </row>
  </sheetData>
  <mergeCells count="6">
    <mergeCell ref="A1:M1"/>
    <mergeCell ref="A8:D8"/>
    <mergeCell ref="A13:D13"/>
    <mergeCell ref="A18:D18"/>
    <mergeCell ref="A32:D32"/>
    <mergeCell ref="A38:D38"/>
  </mergeCells>
  <hyperlinks>
    <hyperlink r:id="rId1" ref="B9"/>
    <hyperlink r:id="rId2" ref="C9"/>
    <hyperlink r:id="rId3" ref="D9"/>
    <hyperlink r:id="rId4" ref="B14"/>
    <hyperlink r:id="rId5" ref="D14"/>
    <hyperlink r:id="rId6" ref="B19"/>
    <hyperlink r:id="rId7" ref="D19"/>
    <hyperlink r:id="rId8" ref="B21"/>
    <hyperlink r:id="rId9" ref="D21"/>
    <hyperlink r:id="rId10" ref="D23"/>
    <hyperlink r:id="rId11" ref="D25"/>
    <hyperlink r:id="rId12" ref="D27"/>
    <hyperlink r:id="rId13" ref="D29"/>
  </hyperlinks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2"/>
  <cols>
    <col customWidth="1" min="2" max="3" width="26.75"/>
    <col customWidth="1" min="4" max="4" width="96.13"/>
    <col customWidth="1" min="5" max="6" width="14.88"/>
    <col customWidth="1" min="7" max="7" width="11.88"/>
    <col customWidth="1" min="8" max="8" width="20.88"/>
    <col customWidth="1" min="9" max="9" width="6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</row>
    <row r="2" outlineLevel="2">
      <c r="A2" s="5" t="s">
        <v>9</v>
      </c>
      <c r="B2" s="5" t="s">
        <v>173</v>
      </c>
      <c r="C2" s="163" t="s">
        <v>10</v>
      </c>
      <c r="D2" s="7" t="s">
        <v>174</v>
      </c>
      <c r="E2" s="8" t="s">
        <v>175</v>
      </c>
      <c r="F2" s="7" t="s">
        <v>14</v>
      </c>
      <c r="G2" s="7"/>
      <c r="H2" s="10"/>
      <c r="I2" s="11"/>
    </row>
    <row r="3" outlineLevel="2">
      <c r="A3" s="12"/>
      <c r="B3" s="12"/>
      <c r="D3" s="164" t="s">
        <v>176</v>
      </c>
      <c r="E3" s="8" t="s">
        <v>177</v>
      </c>
      <c r="F3" s="7" t="s">
        <v>17</v>
      </c>
      <c r="G3" s="15" t="s">
        <v>42</v>
      </c>
      <c r="H3" s="10"/>
      <c r="I3" s="13"/>
    </row>
    <row r="4" outlineLevel="2">
      <c r="A4" s="12"/>
      <c r="B4" s="14"/>
      <c r="D4" s="15" t="s">
        <v>178</v>
      </c>
      <c r="E4" s="8" t="s">
        <v>179</v>
      </c>
      <c r="F4" s="7" t="s">
        <v>14</v>
      </c>
      <c r="G4" s="7"/>
      <c r="H4" s="10"/>
      <c r="I4" s="13"/>
    </row>
    <row r="5" outlineLevel="2">
      <c r="A5" s="12"/>
      <c r="B5" s="14"/>
      <c r="D5" s="165" t="s">
        <v>180</v>
      </c>
      <c r="E5" s="8" t="s">
        <v>181</v>
      </c>
      <c r="F5" s="7" t="s">
        <v>17</v>
      </c>
      <c r="G5" s="15" t="s">
        <v>42</v>
      </c>
      <c r="H5" s="10"/>
      <c r="I5" s="13"/>
    </row>
    <row r="6" outlineLevel="2">
      <c r="A6" s="12"/>
      <c r="B6" s="14"/>
      <c r="C6" s="166" t="s">
        <v>11</v>
      </c>
      <c r="D6" s="17"/>
      <c r="E6" s="18" t="s">
        <v>175</v>
      </c>
      <c r="F6" s="17"/>
      <c r="G6" s="17"/>
      <c r="H6" s="20"/>
      <c r="I6" s="13"/>
    </row>
    <row r="7" outlineLevel="2">
      <c r="A7" s="12"/>
      <c r="B7" s="14"/>
      <c r="D7" s="17"/>
      <c r="E7" s="18" t="s">
        <v>177</v>
      </c>
      <c r="F7" s="17"/>
      <c r="G7" s="17"/>
      <c r="H7" s="20"/>
      <c r="I7" s="13"/>
    </row>
    <row r="8" outlineLevel="2">
      <c r="A8" s="12"/>
      <c r="B8" s="14"/>
      <c r="D8" s="17"/>
      <c r="E8" s="18" t="s">
        <v>179</v>
      </c>
      <c r="F8" s="17"/>
      <c r="G8" s="17"/>
      <c r="H8" s="20"/>
      <c r="I8" s="13"/>
    </row>
    <row r="9" outlineLevel="2">
      <c r="A9" s="12"/>
      <c r="B9" s="14"/>
      <c r="D9" s="17"/>
      <c r="E9" s="18" t="s">
        <v>181</v>
      </c>
      <c r="F9" s="17"/>
      <c r="G9" s="17"/>
      <c r="H9" s="20"/>
      <c r="I9" s="13"/>
    </row>
    <row r="10" outlineLevel="2">
      <c r="A10" s="12"/>
      <c r="B10" s="14"/>
      <c r="C10" s="14"/>
      <c r="D10" s="14"/>
      <c r="E10" s="14"/>
      <c r="F10" s="14"/>
      <c r="G10" s="14"/>
      <c r="H10" s="23"/>
      <c r="I10" s="13"/>
    </row>
    <row r="11" outlineLevel="2">
      <c r="A11" s="24" t="s">
        <v>12</v>
      </c>
      <c r="B11" s="25"/>
      <c r="C11" s="25"/>
      <c r="D11" s="25"/>
      <c r="E11" s="25"/>
      <c r="F11" s="25"/>
      <c r="G11" s="25"/>
      <c r="H11" s="28"/>
      <c r="I11" s="13"/>
    </row>
    <row r="12" outlineLevel="2">
      <c r="A12" s="29"/>
      <c r="B12" s="14"/>
      <c r="C12" s="163" t="s">
        <v>10</v>
      </c>
      <c r="D12" s="7"/>
      <c r="E12" s="8" t="s">
        <v>182</v>
      </c>
      <c r="F12" s="7"/>
      <c r="G12" s="15" t="s">
        <v>183</v>
      </c>
      <c r="H12" s="10"/>
      <c r="I12" s="13"/>
    </row>
    <row r="13" outlineLevel="2">
      <c r="A13" s="29"/>
      <c r="B13" s="14"/>
      <c r="D13" s="7"/>
      <c r="E13" s="8" t="s">
        <v>184</v>
      </c>
      <c r="F13" s="7"/>
      <c r="G13" s="15" t="s">
        <v>183</v>
      </c>
      <c r="H13" s="167"/>
      <c r="I13" s="13"/>
    </row>
    <row r="14" outlineLevel="2">
      <c r="A14" s="29"/>
      <c r="B14" s="14"/>
      <c r="D14" s="7"/>
      <c r="E14" s="8" t="s">
        <v>185</v>
      </c>
      <c r="F14" s="7"/>
      <c r="G14" s="15" t="s">
        <v>183</v>
      </c>
      <c r="H14" s="167"/>
      <c r="I14" s="13"/>
    </row>
    <row r="15" outlineLevel="2">
      <c r="A15" s="29"/>
      <c r="B15" s="14"/>
      <c r="D15" s="7"/>
      <c r="E15" s="8" t="s">
        <v>185</v>
      </c>
      <c r="F15" s="7"/>
      <c r="G15" s="15" t="s">
        <v>42</v>
      </c>
      <c r="H15" s="167"/>
      <c r="I15" s="13"/>
    </row>
    <row r="16" outlineLevel="2">
      <c r="A16" s="29"/>
      <c r="B16" s="14"/>
      <c r="C16" s="166" t="s">
        <v>11</v>
      </c>
      <c r="D16" s="17"/>
      <c r="E16" s="18" t="s">
        <v>186</v>
      </c>
      <c r="F16" s="17"/>
      <c r="G16" s="168" t="s">
        <v>187</v>
      </c>
      <c r="H16" s="169"/>
      <c r="I16" s="13"/>
    </row>
    <row r="17" outlineLevel="2">
      <c r="A17" s="29"/>
      <c r="B17" s="14"/>
      <c r="D17" s="17"/>
      <c r="E17" s="18" t="s">
        <v>185</v>
      </c>
      <c r="F17" s="17"/>
      <c r="G17" s="168" t="s">
        <v>187</v>
      </c>
      <c r="H17" s="169"/>
      <c r="I17" s="13"/>
    </row>
    <row r="18" outlineLevel="2">
      <c r="A18" s="36"/>
      <c r="B18" s="14"/>
      <c r="D18" s="17"/>
      <c r="E18" s="18" t="s">
        <v>185</v>
      </c>
      <c r="F18" s="17"/>
      <c r="G18" s="168" t="s">
        <v>187</v>
      </c>
      <c r="H18" s="20"/>
      <c r="I18" s="13"/>
    </row>
    <row r="19" outlineLevel="2">
      <c r="A19" s="29"/>
      <c r="B19" s="14"/>
      <c r="D19" s="17"/>
      <c r="E19" s="18" t="s">
        <v>185</v>
      </c>
      <c r="F19" s="17"/>
      <c r="G19" s="168" t="s">
        <v>187</v>
      </c>
      <c r="H19" s="20"/>
      <c r="I19" s="13"/>
    </row>
    <row r="20" outlineLevel="2">
      <c r="A20" s="37"/>
      <c r="B20" s="38"/>
      <c r="C20" s="38"/>
      <c r="D20" s="38"/>
      <c r="E20" s="40"/>
      <c r="F20" s="40"/>
      <c r="G20" s="38"/>
      <c r="H20" s="42"/>
      <c r="I20" s="13"/>
    </row>
    <row r="21" outlineLevel="2">
      <c r="A21" s="43" t="s">
        <v>21</v>
      </c>
      <c r="B21" s="14"/>
      <c r="C21" s="14"/>
      <c r="D21" s="25"/>
      <c r="E21" s="25"/>
      <c r="F21" s="25"/>
      <c r="G21" s="25"/>
      <c r="H21" s="28"/>
      <c r="I21" s="13"/>
    </row>
    <row r="22" outlineLevel="2">
      <c r="A22" s="36"/>
      <c r="B22" s="14" t="s">
        <v>188</v>
      </c>
      <c r="C22" s="163" t="s">
        <v>10</v>
      </c>
      <c r="D22" s="7"/>
      <c r="E22" s="8" t="s">
        <v>182</v>
      </c>
      <c r="F22" s="7"/>
      <c r="G22" s="15" t="s">
        <v>183</v>
      </c>
      <c r="H22" s="10"/>
      <c r="I22" s="13"/>
    </row>
    <row r="23" outlineLevel="2">
      <c r="A23" s="29"/>
      <c r="B23" s="14"/>
      <c r="D23" s="7"/>
      <c r="E23" s="8" t="s">
        <v>184</v>
      </c>
      <c r="F23" s="7"/>
      <c r="G23" s="15" t="s">
        <v>183</v>
      </c>
      <c r="H23" s="10"/>
      <c r="I23" s="13"/>
    </row>
    <row r="24" outlineLevel="2">
      <c r="A24" s="170">
        <v>45370.0</v>
      </c>
      <c r="B24" s="5" t="s">
        <v>189</v>
      </c>
      <c r="D24" s="7"/>
      <c r="E24" s="8" t="s">
        <v>185</v>
      </c>
      <c r="F24" s="7"/>
      <c r="G24" s="15" t="s">
        <v>183</v>
      </c>
      <c r="H24" s="10"/>
      <c r="I24" s="13"/>
    </row>
    <row r="25" outlineLevel="2">
      <c r="A25" s="170">
        <v>45371.0</v>
      </c>
      <c r="B25" s="5" t="s">
        <v>190</v>
      </c>
      <c r="D25" s="7"/>
      <c r="E25" s="8" t="s">
        <v>185</v>
      </c>
      <c r="F25" s="7"/>
      <c r="G25" s="15" t="s">
        <v>42</v>
      </c>
      <c r="H25" s="10"/>
      <c r="I25" s="13"/>
    </row>
    <row r="26" outlineLevel="2">
      <c r="A26" s="29"/>
      <c r="B26" s="14"/>
      <c r="C26" s="166" t="s">
        <v>11</v>
      </c>
      <c r="D26" s="17"/>
      <c r="E26" s="18" t="s">
        <v>186</v>
      </c>
      <c r="F26" s="17"/>
      <c r="G26" s="168" t="s">
        <v>187</v>
      </c>
      <c r="H26" s="20"/>
      <c r="I26" s="13"/>
    </row>
    <row r="27" outlineLevel="2">
      <c r="A27" s="29"/>
      <c r="B27" s="14"/>
      <c r="D27" s="17"/>
      <c r="E27" s="18" t="s">
        <v>185</v>
      </c>
      <c r="F27" s="17"/>
      <c r="G27" s="168" t="s">
        <v>187</v>
      </c>
      <c r="H27" s="169"/>
      <c r="I27" s="13"/>
    </row>
    <row r="28" outlineLevel="2">
      <c r="A28" s="29"/>
      <c r="B28" s="14"/>
      <c r="D28" s="17"/>
      <c r="E28" s="18" t="s">
        <v>185</v>
      </c>
      <c r="F28" s="17"/>
      <c r="G28" s="168" t="s">
        <v>187</v>
      </c>
      <c r="H28" s="169"/>
      <c r="I28" s="13"/>
    </row>
    <row r="29" outlineLevel="2">
      <c r="A29" s="29"/>
      <c r="B29" s="12"/>
      <c r="D29" s="17"/>
      <c r="E29" s="18" t="s">
        <v>185</v>
      </c>
      <c r="F29" s="17"/>
      <c r="G29" s="168" t="s">
        <v>187</v>
      </c>
      <c r="H29" s="169"/>
      <c r="I29" s="13"/>
    </row>
    <row r="30" outlineLevel="2">
      <c r="A30" s="46"/>
      <c r="B30" s="38"/>
      <c r="C30" s="38"/>
      <c r="D30" s="38"/>
      <c r="E30" s="38"/>
      <c r="F30" s="38"/>
      <c r="G30" s="38"/>
      <c r="H30" s="47"/>
      <c r="I30" s="11"/>
    </row>
    <row r="31" hidden="1" outlineLevel="2">
      <c r="A31" s="48" t="s">
        <v>30</v>
      </c>
      <c r="B31" s="49"/>
      <c r="C31" s="49"/>
      <c r="D31" s="49"/>
      <c r="E31" s="49"/>
      <c r="F31" s="49"/>
      <c r="G31" s="49"/>
      <c r="H31" s="49"/>
      <c r="I31" s="52"/>
    </row>
    <row r="32" hidden="1" outlineLevel="2">
      <c r="A32" s="48"/>
      <c r="B32" s="53"/>
      <c r="C32" s="54" t="s">
        <v>31</v>
      </c>
      <c r="D32" s="55"/>
      <c r="E32" s="56" t="s">
        <v>32</v>
      </c>
      <c r="F32" s="56" t="s">
        <v>17</v>
      </c>
      <c r="G32" s="61"/>
      <c r="H32" s="58"/>
      <c r="I32" s="52"/>
    </row>
    <row r="33" ht="33.0" hidden="1" customHeight="1" outlineLevel="2">
      <c r="A33" s="48"/>
      <c r="B33" s="53"/>
      <c r="D33" s="59"/>
      <c r="E33" s="56" t="s">
        <v>33</v>
      </c>
      <c r="F33" s="56" t="s">
        <v>14</v>
      </c>
      <c r="G33" s="61"/>
      <c r="H33" s="58"/>
      <c r="I33" s="60"/>
    </row>
    <row r="34" hidden="1" outlineLevel="2">
      <c r="A34" s="53"/>
      <c r="B34" s="53"/>
      <c r="D34" s="61"/>
      <c r="E34" s="56" t="s">
        <v>34</v>
      </c>
      <c r="F34" s="56" t="s">
        <v>17</v>
      </c>
      <c r="G34" s="61"/>
      <c r="H34" s="58"/>
      <c r="I34" s="52"/>
    </row>
    <row r="35" hidden="1" outlineLevel="2">
      <c r="A35" s="49"/>
      <c r="B35" s="49"/>
      <c r="D35" s="61"/>
      <c r="E35" s="56" t="s">
        <v>35</v>
      </c>
      <c r="F35" s="56" t="s">
        <v>14</v>
      </c>
      <c r="G35" s="61"/>
      <c r="H35" s="58"/>
      <c r="I35" s="52"/>
    </row>
    <row r="36" hidden="1" outlineLevel="2">
      <c r="A36" s="48"/>
      <c r="B36" s="48"/>
      <c r="D36" s="62"/>
      <c r="E36" s="63" t="s">
        <v>36</v>
      </c>
      <c r="F36" s="63" t="s">
        <v>17</v>
      </c>
      <c r="G36" s="61"/>
      <c r="H36" s="58"/>
      <c r="I36" s="60"/>
    </row>
    <row r="37" hidden="1" outlineLevel="2">
      <c r="A37" s="48"/>
      <c r="B37" s="48"/>
      <c r="C37" s="65" t="s">
        <v>37</v>
      </c>
      <c r="D37" s="66"/>
      <c r="E37" s="67" t="s">
        <v>32</v>
      </c>
      <c r="F37" s="67" t="s">
        <v>17</v>
      </c>
      <c r="G37" s="76"/>
      <c r="H37" s="70"/>
      <c r="I37" s="52"/>
    </row>
    <row r="38" hidden="1" outlineLevel="2">
      <c r="A38" s="48"/>
      <c r="B38" s="48"/>
      <c r="D38" s="71"/>
      <c r="E38" s="72" t="s">
        <v>33</v>
      </c>
      <c r="F38" s="72" t="s">
        <v>14</v>
      </c>
      <c r="G38" s="76"/>
      <c r="H38" s="70"/>
      <c r="I38" s="52"/>
    </row>
    <row r="39" hidden="1" outlineLevel="2">
      <c r="A39" s="49"/>
      <c r="B39" s="49"/>
      <c r="D39" s="70"/>
      <c r="E39" s="74" t="s">
        <v>34</v>
      </c>
      <c r="F39" s="74" t="s">
        <v>17</v>
      </c>
      <c r="G39" s="76"/>
      <c r="H39" s="70"/>
      <c r="I39" s="52"/>
    </row>
    <row r="40" hidden="1" outlineLevel="2">
      <c r="A40" s="49"/>
      <c r="B40" s="49"/>
      <c r="D40" s="70"/>
      <c r="E40" s="74" t="s">
        <v>35</v>
      </c>
      <c r="F40" s="74" t="s">
        <v>14</v>
      </c>
      <c r="G40" s="76"/>
      <c r="H40" s="70"/>
      <c r="I40" s="75"/>
    </row>
    <row r="41" hidden="1" outlineLevel="2">
      <c r="A41" s="49"/>
      <c r="B41" s="49"/>
      <c r="D41" s="76"/>
      <c r="E41" s="74" t="s">
        <v>36</v>
      </c>
      <c r="F41" s="74" t="s">
        <v>17</v>
      </c>
      <c r="G41" s="76"/>
      <c r="H41" s="70"/>
      <c r="I41" s="75"/>
    </row>
    <row r="42" hidden="1" outlineLevel="2">
      <c r="A42" s="49"/>
      <c r="B42" s="49"/>
      <c r="C42" s="77" t="s">
        <v>38</v>
      </c>
      <c r="D42" s="78"/>
      <c r="E42" s="79"/>
      <c r="F42" s="79"/>
      <c r="G42" s="82"/>
      <c r="H42" s="82"/>
      <c r="I42" s="52"/>
    </row>
    <row r="43" hidden="1" outlineLevel="2">
      <c r="A43" s="48"/>
      <c r="B43" s="48"/>
      <c r="D43" s="82"/>
      <c r="E43" s="79"/>
      <c r="F43" s="79"/>
      <c r="G43" s="82"/>
      <c r="H43" s="82"/>
      <c r="I43" s="52"/>
    </row>
    <row r="44" hidden="1" outlineLevel="2">
      <c r="A44" s="48"/>
      <c r="B44" s="48"/>
      <c r="D44" s="83"/>
      <c r="E44" s="79"/>
      <c r="F44" s="79"/>
      <c r="G44" s="82"/>
      <c r="H44" s="82"/>
      <c r="I44" s="52"/>
    </row>
    <row r="45" hidden="1" outlineLevel="2">
      <c r="A45" s="49"/>
      <c r="B45" s="49"/>
      <c r="D45" s="83"/>
      <c r="E45" s="79"/>
      <c r="F45" s="79"/>
      <c r="G45" s="82"/>
      <c r="H45" s="82"/>
      <c r="I45" s="52"/>
    </row>
    <row r="46" hidden="1" outlineLevel="2">
      <c r="A46" s="49"/>
      <c r="B46" s="49"/>
      <c r="D46" s="83"/>
      <c r="E46" s="84"/>
      <c r="F46" s="84"/>
      <c r="G46" s="82"/>
      <c r="H46" s="82"/>
      <c r="I46" s="52"/>
    </row>
    <row r="47" hidden="1" outlineLevel="1" collapsed="1">
      <c r="A47" s="86"/>
      <c r="B47" s="87"/>
      <c r="C47" s="87"/>
      <c r="D47" s="89"/>
      <c r="E47" s="89"/>
      <c r="F47" s="89"/>
      <c r="G47" s="89"/>
      <c r="H47" s="87"/>
      <c r="I47" s="52"/>
    </row>
    <row r="48" hidden="1" outlineLevel="2">
      <c r="A48" s="92" t="s">
        <v>39</v>
      </c>
      <c r="B48" s="92"/>
      <c r="C48" s="92"/>
      <c r="D48" s="92"/>
      <c r="E48" s="92"/>
      <c r="F48" s="92"/>
      <c r="G48" s="92"/>
      <c r="H48" s="92"/>
      <c r="I48" s="52"/>
    </row>
    <row r="49" hidden="1" outlineLevel="2">
      <c r="A49" s="95"/>
      <c r="B49" s="92"/>
      <c r="C49" s="54" t="s">
        <v>31</v>
      </c>
      <c r="D49" s="55" t="s">
        <v>40</v>
      </c>
      <c r="E49" s="56" t="s">
        <v>41</v>
      </c>
      <c r="F49" s="56" t="s">
        <v>14</v>
      </c>
      <c r="G49" s="61" t="s">
        <v>42</v>
      </c>
      <c r="H49" s="58" t="s">
        <v>43</v>
      </c>
      <c r="I49" s="75" t="s">
        <v>44</v>
      </c>
    </row>
    <row r="50" hidden="1" outlineLevel="2">
      <c r="A50" s="92"/>
      <c r="B50" s="53"/>
      <c r="D50" s="59" t="s">
        <v>45</v>
      </c>
      <c r="E50" s="56" t="s">
        <v>46</v>
      </c>
      <c r="F50" s="56" t="s">
        <v>17</v>
      </c>
      <c r="G50" s="61" t="s">
        <v>42</v>
      </c>
      <c r="H50" s="58" t="s">
        <v>43</v>
      </c>
      <c r="I50" s="75"/>
    </row>
    <row r="51" hidden="1" outlineLevel="2">
      <c r="A51" s="92"/>
      <c r="B51" s="53"/>
      <c r="D51" s="96" t="s">
        <v>47</v>
      </c>
      <c r="E51" s="56" t="s">
        <v>48</v>
      </c>
      <c r="F51" s="56" t="s">
        <v>14</v>
      </c>
      <c r="G51" s="61" t="s">
        <v>49</v>
      </c>
      <c r="H51" s="58" t="s">
        <v>43</v>
      </c>
      <c r="I51" s="52"/>
    </row>
    <row r="52" hidden="1" outlineLevel="2">
      <c r="A52" s="92"/>
      <c r="B52" s="53"/>
      <c r="D52" s="61" t="s">
        <v>50</v>
      </c>
      <c r="E52" s="56" t="s">
        <v>48</v>
      </c>
      <c r="F52" s="56" t="s">
        <v>14</v>
      </c>
      <c r="G52" s="61" t="s">
        <v>49</v>
      </c>
      <c r="H52" s="58"/>
      <c r="I52" s="52"/>
    </row>
    <row r="53" hidden="1" outlineLevel="2">
      <c r="A53" s="97"/>
      <c r="B53" s="53"/>
      <c r="D53" s="96" t="s">
        <v>47</v>
      </c>
      <c r="E53" s="56" t="s">
        <v>51</v>
      </c>
      <c r="F53" s="56" t="s">
        <v>17</v>
      </c>
      <c r="G53" s="61" t="s">
        <v>42</v>
      </c>
      <c r="H53" s="58" t="s">
        <v>43</v>
      </c>
      <c r="I53" s="75"/>
    </row>
    <row r="54" hidden="1" outlineLevel="2">
      <c r="A54" s="97"/>
      <c r="B54" s="53"/>
      <c r="D54" s="61" t="s">
        <v>52</v>
      </c>
      <c r="E54" s="56" t="s">
        <v>51</v>
      </c>
      <c r="F54" s="56" t="s">
        <v>17</v>
      </c>
      <c r="G54" s="61" t="s">
        <v>42</v>
      </c>
      <c r="H54" s="58"/>
      <c r="I54" s="75"/>
    </row>
    <row r="55" hidden="1" outlineLevel="2">
      <c r="A55" s="97"/>
      <c r="B55" s="53"/>
      <c r="C55" s="65" t="s">
        <v>37</v>
      </c>
      <c r="D55" s="66" t="s">
        <v>53</v>
      </c>
      <c r="E55" s="67" t="s">
        <v>41</v>
      </c>
      <c r="F55" s="67" t="s">
        <v>14</v>
      </c>
      <c r="G55" s="76"/>
      <c r="H55" s="70" t="s">
        <v>43</v>
      </c>
      <c r="I55" s="75"/>
    </row>
    <row r="56" hidden="1" outlineLevel="2">
      <c r="A56" s="97"/>
      <c r="B56" s="53"/>
      <c r="D56" s="71" t="s">
        <v>54</v>
      </c>
      <c r="E56" s="72" t="s">
        <v>46</v>
      </c>
      <c r="F56" s="72" t="s">
        <v>17</v>
      </c>
      <c r="G56" s="76"/>
      <c r="H56" s="70" t="s">
        <v>43</v>
      </c>
      <c r="I56" s="52"/>
    </row>
    <row r="57" hidden="1" outlineLevel="2">
      <c r="A57" s="97"/>
      <c r="B57" s="53"/>
      <c r="D57" s="70" t="s">
        <v>55</v>
      </c>
      <c r="E57" s="74" t="s">
        <v>48</v>
      </c>
      <c r="F57" s="74" t="s">
        <v>14</v>
      </c>
      <c r="G57" s="76"/>
      <c r="H57" s="70" t="s">
        <v>43</v>
      </c>
      <c r="I57" s="52"/>
    </row>
    <row r="58" hidden="1" outlineLevel="2">
      <c r="A58" s="97"/>
      <c r="B58" s="53"/>
      <c r="D58" s="70" t="s">
        <v>56</v>
      </c>
      <c r="E58" s="74" t="s">
        <v>51</v>
      </c>
      <c r="F58" s="74" t="s">
        <v>17</v>
      </c>
      <c r="G58" s="76"/>
      <c r="H58" s="70" t="s">
        <v>43</v>
      </c>
      <c r="I58" s="52"/>
    </row>
    <row r="59" hidden="1" outlineLevel="2">
      <c r="A59" s="97"/>
      <c r="B59" s="53"/>
      <c r="C59" s="77" t="s">
        <v>38</v>
      </c>
      <c r="D59" s="78"/>
      <c r="E59" s="79"/>
      <c r="F59" s="79"/>
      <c r="G59" s="82"/>
      <c r="H59" s="82"/>
      <c r="I59" s="52"/>
    </row>
    <row r="60" hidden="1" outlineLevel="2">
      <c r="A60" s="97"/>
      <c r="B60" s="53"/>
      <c r="D60" s="82"/>
      <c r="E60" s="79"/>
      <c r="F60" s="79"/>
      <c r="G60" s="82"/>
      <c r="H60" s="82"/>
      <c r="I60" s="52"/>
    </row>
    <row r="61" hidden="1" outlineLevel="2">
      <c r="A61" s="97"/>
      <c r="B61" s="53"/>
      <c r="D61" s="83"/>
      <c r="E61" s="79"/>
      <c r="F61" s="79"/>
      <c r="G61" s="82"/>
      <c r="H61" s="82"/>
      <c r="I61" s="52"/>
    </row>
    <row r="62" ht="16.5" hidden="1" customHeight="1" outlineLevel="2">
      <c r="A62" s="97"/>
      <c r="B62" s="53"/>
      <c r="D62" s="83"/>
      <c r="E62" s="79"/>
      <c r="F62" s="79"/>
      <c r="G62" s="82"/>
      <c r="H62" s="82"/>
      <c r="I62" s="52"/>
    </row>
    <row r="63" hidden="1" outlineLevel="2">
      <c r="A63" s="97"/>
      <c r="B63" s="53"/>
      <c r="D63" s="83"/>
      <c r="E63" s="84"/>
      <c r="F63" s="84"/>
      <c r="G63" s="82"/>
      <c r="H63" s="82"/>
      <c r="I63" s="52"/>
    </row>
    <row r="64" hidden="1" outlineLevel="1">
      <c r="A64" s="86"/>
      <c r="B64" s="87"/>
      <c r="C64" s="87"/>
      <c r="D64" s="89"/>
      <c r="E64" s="89"/>
      <c r="F64" s="89"/>
      <c r="G64" s="89"/>
      <c r="H64" s="87"/>
      <c r="I64" s="52"/>
    </row>
    <row r="65" hidden="1" outlineLevel="1">
      <c r="A65" s="92" t="s">
        <v>57</v>
      </c>
      <c r="B65" s="92"/>
      <c r="C65" s="92"/>
      <c r="D65" s="92"/>
      <c r="E65" s="92"/>
      <c r="F65" s="92"/>
      <c r="G65" s="92"/>
      <c r="H65" s="92"/>
      <c r="I65" s="52"/>
    </row>
    <row r="66" ht="19.5" hidden="1" customHeight="1" outlineLevel="1">
      <c r="A66" s="95"/>
      <c r="B66" s="92"/>
      <c r="C66" s="54" t="s">
        <v>10</v>
      </c>
      <c r="D66" s="55" t="s">
        <v>58</v>
      </c>
      <c r="E66" s="56" t="s">
        <v>59</v>
      </c>
      <c r="F66" s="56" t="s">
        <v>14</v>
      </c>
      <c r="G66" s="61"/>
      <c r="H66" s="58"/>
      <c r="I66" s="52"/>
    </row>
    <row r="67" hidden="1" outlineLevel="1">
      <c r="A67" s="97"/>
      <c r="B67" s="53"/>
      <c r="D67" s="59" t="s">
        <v>60</v>
      </c>
      <c r="E67" s="56" t="s">
        <v>61</v>
      </c>
      <c r="F67" s="56" t="s">
        <v>17</v>
      </c>
      <c r="G67" s="61"/>
      <c r="H67" s="58"/>
      <c r="I67" s="52"/>
    </row>
    <row r="68" hidden="1" outlineLevel="1">
      <c r="A68" s="97"/>
      <c r="B68" s="53"/>
      <c r="D68" s="98" t="s">
        <v>191</v>
      </c>
      <c r="E68" s="56" t="s">
        <v>63</v>
      </c>
      <c r="F68" s="56" t="s">
        <v>14</v>
      </c>
      <c r="G68" s="61"/>
      <c r="H68" s="58"/>
      <c r="I68" s="52"/>
    </row>
    <row r="69" hidden="1" outlineLevel="1">
      <c r="A69" s="97"/>
      <c r="B69" s="53"/>
      <c r="D69" s="61" t="s">
        <v>58</v>
      </c>
      <c r="E69" s="56" t="s">
        <v>64</v>
      </c>
      <c r="F69" s="56" t="s">
        <v>17</v>
      </c>
      <c r="G69" s="61"/>
      <c r="H69" s="58"/>
      <c r="I69" s="52"/>
    </row>
    <row r="70" hidden="1" outlineLevel="1">
      <c r="A70" s="97"/>
      <c r="B70" s="53"/>
      <c r="D70" s="99" t="s">
        <v>192</v>
      </c>
      <c r="E70" s="63" t="s">
        <v>66</v>
      </c>
      <c r="F70" s="63" t="s">
        <v>14</v>
      </c>
      <c r="G70" s="61"/>
      <c r="H70" s="58"/>
      <c r="I70" s="60"/>
    </row>
    <row r="71" hidden="1" outlineLevel="1">
      <c r="A71" s="97"/>
      <c r="B71" s="53"/>
      <c r="C71" s="65" t="s">
        <v>37</v>
      </c>
      <c r="D71" s="100" t="s">
        <v>193</v>
      </c>
      <c r="E71" s="67"/>
      <c r="F71" s="67"/>
      <c r="G71" s="76"/>
      <c r="H71" s="70"/>
      <c r="I71" s="52"/>
    </row>
    <row r="72" hidden="1" outlineLevel="1">
      <c r="A72" s="97"/>
      <c r="B72" s="53"/>
      <c r="D72" s="72"/>
      <c r="E72" s="72"/>
      <c r="F72" s="72"/>
      <c r="G72" s="76"/>
      <c r="H72" s="70"/>
      <c r="I72" s="52"/>
    </row>
    <row r="73" hidden="1" outlineLevel="1">
      <c r="A73" s="97"/>
      <c r="B73" s="53"/>
      <c r="D73" s="70"/>
      <c r="E73" s="74"/>
      <c r="F73" s="74"/>
      <c r="G73" s="76"/>
      <c r="H73" s="70"/>
      <c r="I73" s="52"/>
    </row>
    <row r="74" hidden="1" outlineLevel="1">
      <c r="A74" s="86"/>
      <c r="B74" s="87"/>
      <c r="C74" s="87"/>
      <c r="D74" s="89"/>
      <c r="E74" s="89"/>
      <c r="F74" s="89"/>
      <c r="G74" s="89"/>
      <c r="H74" s="87"/>
      <c r="I74" s="52"/>
    </row>
    <row r="75" hidden="1" outlineLevel="1">
      <c r="A75" s="92" t="s">
        <v>68</v>
      </c>
      <c r="B75" s="92"/>
      <c r="C75" s="92"/>
      <c r="D75" s="92"/>
      <c r="E75" s="92"/>
      <c r="F75" s="92"/>
      <c r="G75" s="92"/>
      <c r="H75" s="92"/>
      <c r="I75" s="52"/>
    </row>
    <row r="76" ht="18.75" hidden="1" customHeight="1" outlineLevel="1">
      <c r="A76" s="97"/>
      <c r="B76" s="53"/>
      <c r="C76" s="54"/>
      <c r="D76" s="55" t="s">
        <v>69</v>
      </c>
      <c r="E76" s="56" t="s">
        <v>70</v>
      </c>
      <c r="F76" s="56" t="s">
        <v>17</v>
      </c>
      <c r="G76" s="61"/>
      <c r="H76" s="58"/>
      <c r="I76" s="75"/>
    </row>
    <row r="77" ht="42.0" hidden="1" customHeight="1" outlineLevel="1">
      <c r="A77" s="97"/>
      <c r="B77" s="53"/>
      <c r="D77" s="101" t="s">
        <v>194</v>
      </c>
      <c r="E77" s="56" t="s">
        <v>72</v>
      </c>
      <c r="F77" s="56" t="s">
        <v>14</v>
      </c>
      <c r="G77" s="61" t="s">
        <v>42</v>
      </c>
      <c r="H77" s="58" t="s">
        <v>73</v>
      </c>
      <c r="I77" s="102"/>
    </row>
    <row r="78" hidden="1" outlineLevel="1">
      <c r="A78" s="97"/>
      <c r="B78" s="53"/>
      <c r="D78" s="61" t="s">
        <v>74</v>
      </c>
      <c r="E78" s="56" t="s">
        <v>75</v>
      </c>
      <c r="F78" s="56" t="s">
        <v>17</v>
      </c>
      <c r="G78" s="61"/>
      <c r="H78" s="58"/>
      <c r="I78" s="52"/>
    </row>
    <row r="79" hidden="1" outlineLevel="1">
      <c r="A79" s="97"/>
      <c r="B79" s="53"/>
      <c r="D79" s="62" t="s">
        <v>76</v>
      </c>
      <c r="E79" s="63" t="s">
        <v>77</v>
      </c>
      <c r="F79" s="63" t="s">
        <v>14</v>
      </c>
      <c r="G79" s="61"/>
      <c r="H79" s="58"/>
      <c r="I79" s="52"/>
    </row>
    <row r="80" hidden="1" outlineLevel="1">
      <c r="A80" s="97"/>
      <c r="B80" s="53"/>
      <c r="C80" s="65" t="s">
        <v>11</v>
      </c>
      <c r="D80" s="66"/>
      <c r="E80" s="67"/>
      <c r="F80" s="67"/>
      <c r="G80" s="76"/>
      <c r="H80" s="70"/>
      <c r="I80" s="52"/>
    </row>
    <row r="81" hidden="1" outlineLevel="1">
      <c r="A81" s="97"/>
      <c r="B81" s="53"/>
      <c r="D81" s="72"/>
      <c r="E81" s="72"/>
      <c r="F81" s="72"/>
      <c r="G81" s="76"/>
      <c r="H81" s="70"/>
      <c r="I81" s="52"/>
    </row>
    <row r="82" hidden="1" outlineLevel="1">
      <c r="A82" s="97"/>
      <c r="B82" s="53"/>
      <c r="D82" s="70"/>
      <c r="E82" s="74"/>
      <c r="F82" s="74"/>
      <c r="G82" s="76"/>
      <c r="H82" s="70"/>
      <c r="I82" s="52"/>
    </row>
    <row r="83" hidden="1" outlineLevel="1">
      <c r="A83" s="97"/>
      <c r="B83" s="53"/>
      <c r="C83" s="77" t="s">
        <v>78</v>
      </c>
      <c r="D83" s="78"/>
      <c r="E83" s="79" t="s">
        <v>79</v>
      </c>
      <c r="F83" s="79"/>
      <c r="G83" s="82"/>
      <c r="H83" s="82"/>
      <c r="I83" s="52"/>
    </row>
    <row r="84" hidden="1" outlineLevel="1">
      <c r="A84" s="97"/>
      <c r="B84" s="53"/>
      <c r="D84" s="82"/>
      <c r="E84" s="79" t="s">
        <v>70</v>
      </c>
      <c r="F84" s="79"/>
      <c r="G84" s="82"/>
      <c r="H84" s="82"/>
      <c r="I84" s="52"/>
    </row>
    <row r="85" hidden="1" outlineLevel="1">
      <c r="A85" s="97"/>
      <c r="B85" s="53"/>
      <c r="D85" s="82"/>
      <c r="E85" s="79" t="s">
        <v>72</v>
      </c>
      <c r="F85" s="79"/>
      <c r="G85" s="82"/>
      <c r="H85" s="82"/>
      <c r="I85" s="52"/>
    </row>
    <row r="86" hidden="1" outlineLevel="1">
      <c r="A86" s="97"/>
      <c r="B86" s="53"/>
      <c r="D86" s="82"/>
      <c r="E86" s="79" t="s">
        <v>75</v>
      </c>
      <c r="F86" s="79"/>
      <c r="G86" s="82"/>
      <c r="H86" s="82"/>
      <c r="I86" s="52"/>
    </row>
    <row r="87" hidden="1" outlineLevel="1">
      <c r="A87" s="97"/>
      <c r="B87" s="53"/>
      <c r="D87" s="82"/>
      <c r="E87" s="79" t="s">
        <v>77</v>
      </c>
      <c r="F87" s="79"/>
      <c r="G87" s="82"/>
      <c r="H87" s="82"/>
      <c r="I87" s="52"/>
    </row>
    <row r="88" hidden="1" outlineLevel="1">
      <c r="A88" s="97"/>
      <c r="B88" s="53"/>
      <c r="C88" s="53"/>
      <c r="D88" s="53"/>
      <c r="E88" s="53"/>
      <c r="F88" s="53"/>
      <c r="G88" s="53"/>
      <c r="H88" s="53"/>
      <c r="I88" s="52"/>
    </row>
    <row r="89" hidden="1" outlineLevel="1">
      <c r="A89" s="97"/>
      <c r="B89" s="53"/>
      <c r="C89" s="53"/>
      <c r="D89" s="53"/>
      <c r="E89" s="53"/>
      <c r="F89" s="53"/>
      <c r="G89" s="53"/>
      <c r="H89" s="53"/>
      <c r="I89" s="52"/>
    </row>
    <row r="90" hidden="1" outlineLevel="1">
      <c r="A90" s="97"/>
      <c r="B90" s="53"/>
      <c r="C90" s="53"/>
      <c r="D90" s="53"/>
      <c r="E90" s="53"/>
      <c r="F90" s="53"/>
      <c r="G90" s="53"/>
      <c r="H90" s="53"/>
      <c r="I90" s="52"/>
    </row>
    <row r="91" collapsed="1">
      <c r="A91" s="86"/>
      <c r="B91" s="87"/>
      <c r="C91" s="87"/>
      <c r="D91" s="89"/>
      <c r="E91" s="89"/>
      <c r="F91" s="89"/>
      <c r="G91" s="89"/>
      <c r="H91" s="87"/>
      <c r="I91" s="52"/>
    </row>
    <row r="92" hidden="1" outlineLevel="1">
      <c r="A92" s="92" t="s">
        <v>118</v>
      </c>
      <c r="B92" s="92"/>
      <c r="C92" s="92"/>
      <c r="D92" s="92"/>
      <c r="E92" s="92"/>
      <c r="F92" s="92"/>
      <c r="G92" s="92"/>
      <c r="H92" s="92"/>
      <c r="I92" s="52"/>
    </row>
    <row r="93" hidden="1" outlineLevel="1">
      <c r="A93" s="95"/>
      <c r="B93" s="92"/>
      <c r="C93" s="54" t="s">
        <v>10</v>
      </c>
      <c r="D93" s="55" t="s">
        <v>195</v>
      </c>
      <c r="E93" s="56" t="s">
        <v>82</v>
      </c>
      <c r="F93" s="56"/>
      <c r="G93" s="61"/>
      <c r="H93" s="58"/>
      <c r="I93" s="52"/>
    </row>
    <row r="94" hidden="1" outlineLevel="1">
      <c r="A94" s="97"/>
      <c r="B94" s="53"/>
      <c r="D94" s="59" t="s">
        <v>196</v>
      </c>
      <c r="E94" s="56" t="s">
        <v>83</v>
      </c>
      <c r="F94" s="56"/>
      <c r="G94" s="61"/>
      <c r="H94" s="58"/>
      <c r="I94" s="52"/>
    </row>
    <row r="95" hidden="1" outlineLevel="1">
      <c r="A95" s="97"/>
      <c r="B95" s="53"/>
      <c r="D95" s="61" t="s">
        <v>197</v>
      </c>
      <c r="E95" s="56" t="s">
        <v>84</v>
      </c>
      <c r="F95" s="56"/>
      <c r="G95" s="61"/>
      <c r="H95" s="58"/>
      <c r="I95" s="75"/>
    </row>
    <row r="96" hidden="1" outlineLevel="1">
      <c r="A96" s="92" t="s">
        <v>198</v>
      </c>
      <c r="B96" s="92" t="s">
        <v>199</v>
      </c>
      <c r="D96" s="61" t="s">
        <v>200</v>
      </c>
      <c r="E96" s="56" t="s">
        <v>85</v>
      </c>
      <c r="F96" s="56"/>
      <c r="G96" s="61"/>
      <c r="H96" s="58"/>
      <c r="I96" s="52"/>
    </row>
    <row r="97" hidden="1" outlineLevel="1">
      <c r="A97" s="97"/>
      <c r="B97" s="53"/>
      <c r="D97" s="62"/>
      <c r="E97" s="63" t="s">
        <v>86</v>
      </c>
      <c r="F97" s="63"/>
      <c r="G97" s="61"/>
      <c r="H97" s="55"/>
      <c r="I97" s="60"/>
    </row>
    <row r="98" hidden="1" outlineLevel="1">
      <c r="A98" s="97"/>
      <c r="B98" s="53"/>
      <c r="C98" s="113" t="s">
        <v>98</v>
      </c>
      <c r="D98" s="70"/>
      <c r="E98" s="67"/>
      <c r="F98" s="67"/>
      <c r="G98" s="76"/>
      <c r="H98" s="70"/>
      <c r="I98" s="52"/>
    </row>
    <row r="99" hidden="1" outlineLevel="1">
      <c r="A99" s="97"/>
      <c r="B99" s="53"/>
      <c r="D99" s="171"/>
      <c r="E99" s="72"/>
      <c r="F99" s="72"/>
      <c r="G99" s="76"/>
      <c r="H99" s="70"/>
      <c r="I99" s="52"/>
    </row>
    <row r="100" hidden="1" outlineLevel="1">
      <c r="A100" s="97"/>
      <c r="B100" s="53"/>
      <c r="D100" s="70"/>
      <c r="E100" s="74"/>
      <c r="F100" s="74"/>
      <c r="G100" s="76"/>
      <c r="H100" s="70"/>
      <c r="I100" s="52"/>
    </row>
    <row r="101" hidden="1" outlineLevel="1">
      <c r="A101" s="97"/>
      <c r="B101" s="53"/>
      <c r="C101" s="77" t="s">
        <v>78</v>
      </c>
      <c r="D101" s="78"/>
      <c r="E101" s="79" t="s">
        <v>82</v>
      </c>
      <c r="F101" s="79"/>
      <c r="G101" s="82"/>
      <c r="H101" s="82"/>
      <c r="I101" s="52"/>
    </row>
    <row r="102" hidden="1" outlineLevel="1">
      <c r="A102" s="97"/>
      <c r="B102" s="53"/>
      <c r="D102" s="78"/>
      <c r="E102" s="79" t="s">
        <v>83</v>
      </c>
      <c r="F102" s="79"/>
      <c r="G102" s="82"/>
      <c r="H102" s="82"/>
      <c r="I102" s="52"/>
    </row>
    <row r="103" hidden="1" outlineLevel="1">
      <c r="A103" s="97"/>
      <c r="B103" s="53"/>
      <c r="D103" s="78"/>
      <c r="E103" s="79" t="s">
        <v>84</v>
      </c>
      <c r="F103" s="79"/>
      <c r="G103" s="82"/>
      <c r="H103" s="82"/>
      <c r="I103" s="52"/>
    </row>
    <row r="104" hidden="1" outlineLevel="1">
      <c r="A104" s="97"/>
      <c r="B104" s="53"/>
      <c r="D104" s="83"/>
      <c r="E104" s="79" t="s">
        <v>85</v>
      </c>
      <c r="F104" s="79"/>
      <c r="G104" s="82"/>
      <c r="H104" s="82"/>
      <c r="I104" s="52"/>
    </row>
    <row r="105" hidden="1" outlineLevel="1">
      <c r="A105" s="108"/>
      <c r="B105" s="108"/>
      <c r="C105" s="121"/>
      <c r="D105" s="83"/>
      <c r="E105" s="79" t="s">
        <v>86</v>
      </c>
      <c r="F105" s="79"/>
      <c r="G105" s="82"/>
      <c r="H105" s="82"/>
      <c r="I105" s="52"/>
    </row>
    <row r="106" hidden="1" outlineLevel="1">
      <c r="A106" s="86"/>
      <c r="B106" s="87"/>
      <c r="C106" s="87"/>
      <c r="D106" s="89"/>
      <c r="E106" s="89"/>
      <c r="F106" s="89"/>
      <c r="G106" s="89"/>
      <c r="H106" s="87"/>
      <c r="I106" s="52"/>
    </row>
    <row r="107" hidden="1" outlineLevel="1">
      <c r="A107" s="92" t="s">
        <v>87</v>
      </c>
      <c r="B107" s="92"/>
      <c r="C107" s="92"/>
      <c r="D107" s="92"/>
      <c r="E107" s="92"/>
      <c r="F107" s="92"/>
      <c r="G107" s="92"/>
      <c r="H107" s="92"/>
      <c r="I107" s="52"/>
    </row>
    <row r="108" hidden="1" outlineLevel="1">
      <c r="A108" s="95"/>
      <c r="B108" s="92"/>
      <c r="C108" s="54" t="s">
        <v>10</v>
      </c>
      <c r="D108" s="55" t="s">
        <v>88</v>
      </c>
      <c r="E108" s="56" t="s">
        <v>86</v>
      </c>
      <c r="F108" s="56"/>
      <c r="G108" s="61"/>
      <c r="H108" s="58" t="s">
        <v>89</v>
      </c>
      <c r="I108" s="52"/>
    </row>
    <row r="109" ht="14.25" hidden="1" customHeight="1" outlineLevel="1">
      <c r="A109" s="97"/>
      <c r="B109" s="53"/>
      <c r="D109" s="110" t="s">
        <v>90</v>
      </c>
      <c r="E109" s="56" t="s">
        <v>91</v>
      </c>
      <c r="F109" s="56"/>
      <c r="G109" s="61"/>
      <c r="H109" s="58" t="s">
        <v>89</v>
      </c>
      <c r="I109" s="60"/>
    </row>
    <row r="110" hidden="1" outlineLevel="1">
      <c r="A110" s="97"/>
      <c r="B110" s="53"/>
      <c r="D110" s="111" t="s">
        <v>92</v>
      </c>
      <c r="E110" s="56" t="s">
        <v>93</v>
      </c>
      <c r="F110" s="56"/>
      <c r="G110" s="61"/>
      <c r="H110" s="58" t="s">
        <v>89</v>
      </c>
      <c r="I110" s="52"/>
    </row>
    <row r="111" hidden="1" outlineLevel="1">
      <c r="A111" s="97"/>
      <c r="B111" s="53"/>
      <c r="D111" s="111" t="s">
        <v>94</v>
      </c>
      <c r="E111" s="56" t="s">
        <v>95</v>
      </c>
      <c r="F111" s="56"/>
      <c r="G111" s="61"/>
      <c r="H111" s="58"/>
      <c r="I111" s="75"/>
    </row>
    <row r="112" hidden="1" outlineLevel="1">
      <c r="A112" s="97"/>
      <c r="B112" s="53"/>
      <c r="D112" s="112" t="s">
        <v>96</v>
      </c>
      <c r="E112" s="63" t="s">
        <v>97</v>
      </c>
      <c r="F112" s="63"/>
      <c r="G112" s="61"/>
      <c r="H112" s="58"/>
      <c r="I112" s="75"/>
    </row>
    <row r="113" hidden="1" outlineLevel="1">
      <c r="A113" s="97"/>
      <c r="B113" s="53"/>
      <c r="C113" s="113" t="s">
        <v>98</v>
      </c>
      <c r="D113" s="66"/>
      <c r="E113" s="67" t="s">
        <v>86</v>
      </c>
      <c r="F113" s="67"/>
      <c r="G113" s="76"/>
      <c r="H113" s="70"/>
      <c r="I113" s="52"/>
    </row>
    <row r="114" hidden="1" outlineLevel="1">
      <c r="A114" s="97"/>
      <c r="B114" s="53"/>
      <c r="D114" s="71"/>
      <c r="E114" s="72" t="s">
        <v>91</v>
      </c>
      <c r="F114" s="72"/>
      <c r="G114" s="76"/>
      <c r="H114" s="70"/>
      <c r="I114" s="52"/>
    </row>
    <row r="115" hidden="1" outlineLevel="1">
      <c r="A115" s="97"/>
      <c r="B115" s="53"/>
      <c r="D115" s="70"/>
      <c r="E115" s="74" t="s">
        <v>99</v>
      </c>
      <c r="F115" s="74"/>
      <c r="G115" s="76"/>
      <c r="H115" s="70"/>
      <c r="I115" s="52"/>
    </row>
    <row r="116" hidden="1" outlineLevel="1">
      <c r="A116" s="97"/>
      <c r="B116" s="53"/>
      <c r="C116" s="77" t="s">
        <v>78</v>
      </c>
      <c r="D116" s="78"/>
      <c r="E116" s="79" t="s">
        <v>91</v>
      </c>
      <c r="F116" s="79"/>
      <c r="G116" s="82"/>
      <c r="H116" s="82"/>
      <c r="I116" s="52"/>
    </row>
    <row r="117" hidden="1" outlineLevel="1">
      <c r="A117" s="97"/>
      <c r="B117" s="53"/>
      <c r="D117" s="78"/>
      <c r="E117" s="79" t="s">
        <v>93</v>
      </c>
      <c r="F117" s="79"/>
      <c r="G117" s="82"/>
      <c r="H117" s="82"/>
      <c r="I117" s="52"/>
    </row>
    <row r="118" hidden="1" outlineLevel="1">
      <c r="A118" s="97"/>
      <c r="B118" s="53"/>
      <c r="D118" s="78"/>
      <c r="E118" s="79" t="s">
        <v>95</v>
      </c>
      <c r="F118" s="79"/>
      <c r="G118" s="82"/>
      <c r="H118" s="82"/>
      <c r="I118" s="52"/>
    </row>
    <row r="119" hidden="1" outlineLevel="1">
      <c r="A119" s="97"/>
      <c r="B119" s="53"/>
      <c r="D119" s="78"/>
      <c r="E119" s="84" t="s">
        <v>97</v>
      </c>
      <c r="F119" s="84"/>
      <c r="G119" s="82"/>
      <c r="H119" s="82"/>
      <c r="I119" s="52"/>
    </row>
    <row r="120" collapsed="1">
      <c r="A120" s="86"/>
      <c r="B120" s="87"/>
      <c r="C120" s="87"/>
      <c r="D120" s="89"/>
      <c r="E120" s="89"/>
      <c r="F120" s="89"/>
      <c r="G120" s="89"/>
      <c r="H120" s="87"/>
      <c r="I120" s="122"/>
    </row>
    <row r="121" hidden="1" outlineLevel="1">
      <c r="A121" s="92" t="s">
        <v>119</v>
      </c>
      <c r="B121" s="92"/>
      <c r="C121" s="92"/>
      <c r="D121" s="92"/>
      <c r="E121" s="92"/>
      <c r="F121" s="92"/>
      <c r="G121" s="92"/>
      <c r="H121" s="92"/>
      <c r="I121" s="52"/>
    </row>
    <row r="122" hidden="1" outlineLevel="1">
      <c r="A122" s="95"/>
      <c r="B122" s="92"/>
      <c r="C122" s="54" t="s">
        <v>31</v>
      </c>
      <c r="D122" s="114"/>
      <c r="E122" s="56" t="s">
        <v>201</v>
      </c>
      <c r="F122" s="56"/>
      <c r="G122" s="61"/>
      <c r="H122" s="172"/>
      <c r="I122" s="52"/>
    </row>
    <row r="123" hidden="1" outlineLevel="1">
      <c r="A123" s="97"/>
      <c r="B123" s="53"/>
      <c r="D123" s="110"/>
      <c r="E123" s="56" t="s">
        <v>202</v>
      </c>
      <c r="F123" s="56"/>
      <c r="G123" s="61"/>
      <c r="H123" s="58"/>
      <c r="I123" s="52"/>
    </row>
    <row r="124" hidden="1" outlineLevel="1">
      <c r="A124" s="97"/>
      <c r="B124" s="53"/>
      <c r="D124" s="61"/>
      <c r="E124" s="56" t="s">
        <v>203</v>
      </c>
      <c r="F124" s="56"/>
      <c r="G124" s="61"/>
      <c r="H124" s="58"/>
      <c r="I124" s="52"/>
    </row>
    <row r="125" hidden="1" outlineLevel="1">
      <c r="A125" s="173">
        <v>45594.0</v>
      </c>
      <c r="B125" s="92" t="s">
        <v>204</v>
      </c>
      <c r="D125" s="62"/>
      <c r="E125" s="63" t="s">
        <v>205</v>
      </c>
      <c r="F125" s="63"/>
      <c r="G125" s="61"/>
      <c r="H125" s="58"/>
      <c r="I125" s="52"/>
    </row>
    <row r="126" hidden="1" outlineLevel="1">
      <c r="A126" s="97"/>
      <c r="B126" s="53"/>
      <c r="C126" s="113" t="s">
        <v>37</v>
      </c>
      <c r="D126" s="66"/>
      <c r="E126" s="67"/>
      <c r="F126" s="67"/>
      <c r="G126" s="76"/>
      <c r="H126" s="70"/>
      <c r="I126" s="52"/>
    </row>
    <row r="127" hidden="1" outlineLevel="1">
      <c r="A127" s="97"/>
      <c r="B127" s="53"/>
      <c r="D127" s="72"/>
      <c r="E127" s="72"/>
      <c r="F127" s="72"/>
      <c r="G127" s="76"/>
      <c r="H127" s="70"/>
      <c r="I127" s="52"/>
    </row>
    <row r="128" hidden="1" outlineLevel="1">
      <c r="A128" s="97"/>
      <c r="B128" s="53"/>
      <c r="D128" s="70"/>
      <c r="E128" s="74"/>
      <c r="F128" s="74"/>
      <c r="G128" s="76"/>
      <c r="H128" s="70"/>
      <c r="I128" s="52"/>
    </row>
    <row r="129" hidden="1" outlineLevel="1">
      <c r="A129" s="86"/>
      <c r="B129" s="87"/>
      <c r="C129" s="87"/>
      <c r="D129" s="89"/>
      <c r="E129" s="89"/>
      <c r="F129" s="89"/>
      <c r="G129" s="89"/>
      <c r="H129" s="87"/>
      <c r="I129" s="122"/>
    </row>
    <row r="130" hidden="1" outlineLevel="1">
      <c r="A130" s="92" t="s">
        <v>100</v>
      </c>
      <c r="B130" s="92"/>
      <c r="C130" s="92"/>
      <c r="D130" s="92"/>
      <c r="E130" s="92"/>
      <c r="F130" s="92"/>
      <c r="G130" s="92"/>
      <c r="H130" s="92"/>
      <c r="I130" s="52"/>
    </row>
    <row r="131" hidden="1" outlineLevel="1">
      <c r="A131" s="95"/>
      <c r="B131" s="92"/>
      <c r="C131" s="54" t="s">
        <v>31</v>
      </c>
      <c r="D131" s="114" t="s">
        <v>101</v>
      </c>
      <c r="E131" s="56" t="s">
        <v>102</v>
      </c>
      <c r="F131" s="56" t="s">
        <v>17</v>
      </c>
      <c r="G131" s="56" t="s">
        <v>49</v>
      </c>
      <c r="H131" s="115" t="s">
        <v>89</v>
      </c>
      <c r="I131" s="116" t="s">
        <v>206</v>
      </c>
    </row>
    <row r="132" hidden="1" outlineLevel="1">
      <c r="A132" s="97"/>
      <c r="B132" s="53"/>
      <c r="D132" s="59"/>
      <c r="E132" s="56" t="s">
        <v>104</v>
      </c>
      <c r="F132" s="56" t="s">
        <v>14</v>
      </c>
      <c r="G132" s="56"/>
      <c r="H132" s="58" t="s">
        <v>105</v>
      </c>
      <c r="I132" s="52"/>
    </row>
    <row r="133" hidden="1" outlineLevel="1">
      <c r="A133" s="97"/>
      <c r="B133" s="53"/>
      <c r="D133" s="61" t="s">
        <v>106</v>
      </c>
      <c r="E133" s="56" t="s">
        <v>107</v>
      </c>
      <c r="F133" s="56" t="s">
        <v>17</v>
      </c>
      <c r="G133" s="56" t="s">
        <v>42</v>
      </c>
      <c r="H133" s="58" t="s">
        <v>108</v>
      </c>
      <c r="I133" s="60" t="s">
        <v>109</v>
      </c>
    </row>
    <row r="134" hidden="1" outlineLevel="1">
      <c r="A134" s="97"/>
      <c r="B134" s="53"/>
      <c r="D134" s="61"/>
      <c r="E134" s="56" t="s">
        <v>110</v>
      </c>
      <c r="F134" s="56" t="s">
        <v>111</v>
      </c>
      <c r="G134" s="56"/>
      <c r="H134" s="58" t="s">
        <v>105</v>
      </c>
      <c r="I134" s="52"/>
    </row>
    <row r="135" hidden="1" outlineLevel="1">
      <c r="A135" s="97"/>
      <c r="B135" s="53"/>
      <c r="D135" s="117" t="s">
        <v>112</v>
      </c>
      <c r="E135" s="63" t="s">
        <v>113</v>
      </c>
      <c r="F135" s="63" t="s">
        <v>27</v>
      </c>
      <c r="G135" s="56"/>
      <c r="H135" s="55" t="s">
        <v>105</v>
      </c>
      <c r="I135" s="52"/>
    </row>
    <row r="136" hidden="1" outlineLevel="1">
      <c r="A136" s="97"/>
      <c r="B136" s="53"/>
      <c r="C136" s="113" t="s">
        <v>18</v>
      </c>
      <c r="D136" s="66" t="s">
        <v>114</v>
      </c>
      <c r="E136" s="67" t="s">
        <v>102</v>
      </c>
      <c r="F136" s="67" t="s">
        <v>17</v>
      </c>
      <c r="G136" s="76"/>
      <c r="H136" s="118" t="s">
        <v>105</v>
      </c>
      <c r="I136" s="116" t="s">
        <v>207</v>
      </c>
    </row>
    <row r="137" hidden="1" outlineLevel="1">
      <c r="A137" s="97"/>
      <c r="B137" s="53"/>
      <c r="D137" s="72"/>
      <c r="E137" s="72" t="s">
        <v>104</v>
      </c>
      <c r="F137" s="72" t="s">
        <v>14</v>
      </c>
      <c r="G137" s="76"/>
      <c r="H137" s="118" t="s">
        <v>105</v>
      </c>
      <c r="I137" s="52"/>
    </row>
    <row r="138" hidden="1" outlineLevel="1">
      <c r="A138" s="97"/>
      <c r="B138" s="53"/>
      <c r="D138" s="70" t="s">
        <v>116</v>
      </c>
      <c r="E138" s="74" t="s">
        <v>107</v>
      </c>
      <c r="F138" s="74" t="s">
        <v>17</v>
      </c>
      <c r="G138" s="76"/>
      <c r="H138" s="118" t="s">
        <v>105</v>
      </c>
      <c r="I138" s="52"/>
    </row>
    <row r="139" hidden="1" outlineLevel="1">
      <c r="A139" s="97"/>
      <c r="B139" s="53"/>
      <c r="D139" s="70"/>
      <c r="E139" s="74" t="s">
        <v>110</v>
      </c>
      <c r="F139" s="74" t="s">
        <v>14</v>
      </c>
      <c r="G139" s="76"/>
      <c r="H139" s="118" t="s">
        <v>105</v>
      </c>
      <c r="I139" s="52"/>
    </row>
    <row r="140" hidden="1" outlineLevel="1">
      <c r="A140" s="108"/>
      <c r="B140" s="108"/>
      <c r="C140" s="119" t="s">
        <v>38</v>
      </c>
      <c r="D140" s="78"/>
      <c r="E140" s="78"/>
      <c r="F140" s="78"/>
      <c r="G140" s="78"/>
      <c r="H140" s="121"/>
      <c r="I140" s="75" t="s">
        <v>117</v>
      </c>
    </row>
    <row r="141" hidden="1" outlineLevel="1">
      <c r="A141" s="108"/>
      <c r="B141" s="108"/>
      <c r="D141" s="78"/>
      <c r="E141" s="78"/>
      <c r="F141" s="78"/>
      <c r="G141" s="78"/>
      <c r="H141" s="121"/>
      <c r="I141" s="52"/>
    </row>
    <row r="142" hidden="1" outlineLevel="1">
      <c r="A142" s="108"/>
      <c r="B142" s="108"/>
      <c r="D142" s="78"/>
      <c r="E142" s="78"/>
      <c r="F142" s="78"/>
      <c r="G142" s="78"/>
      <c r="H142" s="121"/>
      <c r="I142" s="52"/>
    </row>
    <row r="143" hidden="1" outlineLevel="1">
      <c r="A143" s="108"/>
      <c r="B143" s="108"/>
      <c r="D143" s="78"/>
      <c r="E143" s="78"/>
      <c r="F143" s="78"/>
      <c r="G143" s="78"/>
      <c r="H143" s="121"/>
      <c r="I143" s="52"/>
    </row>
    <row r="144" hidden="1" outlineLevel="1">
      <c r="A144" s="86"/>
      <c r="B144" s="87"/>
      <c r="C144" s="87"/>
      <c r="D144" s="89"/>
      <c r="E144" s="89"/>
      <c r="F144" s="89"/>
      <c r="G144" s="89"/>
      <c r="H144" s="87"/>
      <c r="I144" s="122"/>
    </row>
  </sheetData>
  <mergeCells count="28">
    <mergeCell ref="C2:C5"/>
    <mergeCell ref="C6:C9"/>
    <mergeCell ref="C12:C15"/>
    <mergeCell ref="C16:C19"/>
    <mergeCell ref="C22:C25"/>
    <mergeCell ref="C26:C29"/>
    <mergeCell ref="C32:C36"/>
    <mergeCell ref="C37:C41"/>
    <mergeCell ref="C42:C46"/>
    <mergeCell ref="C49:C54"/>
    <mergeCell ref="C55:C58"/>
    <mergeCell ref="C59:C63"/>
    <mergeCell ref="C66:C70"/>
    <mergeCell ref="C71:C73"/>
    <mergeCell ref="C113:C115"/>
    <mergeCell ref="C116:C119"/>
    <mergeCell ref="C122:C125"/>
    <mergeCell ref="C126:C128"/>
    <mergeCell ref="C131:C135"/>
    <mergeCell ref="C136:C139"/>
    <mergeCell ref="C140:C143"/>
    <mergeCell ref="C76:C79"/>
    <mergeCell ref="C80:C82"/>
    <mergeCell ref="C83:C87"/>
    <mergeCell ref="C93:C97"/>
    <mergeCell ref="C98:C100"/>
    <mergeCell ref="C101:C104"/>
    <mergeCell ref="C108:C112"/>
  </mergeCells>
  <dataValidations>
    <dataValidation type="list" allowBlank="1" showErrorMessage="1" sqref="H3:H12 H19:H26 H122:H125 H131:H139">
      <formula1>"Pendiente,En curso,Ok (sin programar),Programado,Publicado"</formula1>
    </dataValidation>
  </dataValidations>
  <hyperlinks>
    <hyperlink r:id="rId1" ref="D3"/>
    <hyperlink r:id="rId2" ref="D5"/>
    <hyperlink r:id="rId3" ref="D68"/>
    <hyperlink r:id="rId4" ref="D70"/>
    <hyperlink r:id="rId5" ref="D77"/>
    <hyperlink r:id="rId6" ref="I131"/>
    <hyperlink r:id="rId7" ref="I136"/>
  </hyperlinks>
  <drawing r:id="rId8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4.38"/>
    <col customWidth="1" min="3" max="3" width="24.0"/>
    <col customWidth="1" min="4" max="5" width="25.0"/>
  </cols>
  <sheetData>
    <row r="1">
      <c r="A1" s="174"/>
      <c r="B1" s="175"/>
      <c r="C1" s="176" t="s">
        <v>208</v>
      </c>
      <c r="D1" s="176" t="s">
        <v>209</v>
      </c>
      <c r="E1" s="176" t="s">
        <v>210</v>
      </c>
    </row>
    <row r="2">
      <c r="A2" s="177" t="s">
        <v>211</v>
      </c>
      <c r="B2" s="178" t="s">
        <v>212</v>
      </c>
      <c r="C2" s="179">
        <v>45938.0</v>
      </c>
      <c r="D2" s="179">
        <v>45938.0</v>
      </c>
      <c r="E2" s="179">
        <v>45992.0</v>
      </c>
    </row>
    <row r="3">
      <c r="A3" s="180"/>
      <c r="B3" s="178" t="s">
        <v>213</v>
      </c>
      <c r="C3" s="181">
        <v>45960.0</v>
      </c>
      <c r="D3" s="181">
        <v>45969.0</v>
      </c>
      <c r="E3" s="181">
        <v>46022.0</v>
      </c>
    </row>
    <row r="4">
      <c r="A4" s="180"/>
      <c r="B4" s="182" t="s">
        <v>214</v>
      </c>
      <c r="C4" s="183">
        <v>28788.0</v>
      </c>
      <c r="D4" s="183">
        <v>1444.0</v>
      </c>
      <c r="E4" s="183">
        <v>1445.0</v>
      </c>
    </row>
    <row r="5">
      <c r="A5" s="180"/>
      <c r="B5" s="184" t="s">
        <v>215</v>
      </c>
      <c r="C5" s="185">
        <v>23852.0</v>
      </c>
      <c r="D5" s="185">
        <v>1105.0</v>
      </c>
      <c r="E5" s="185">
        <v>2391.0</v>
      </c>
    </row>
    <row r="6">
      <c r="A6" s="180"/>
      <c r="B6" s="186" t="s">
        <v>216</v>
      </c>
      <c r="C6" s="187">
        <v>162.0</v>
      </c>
      <c r="D6" s="187">
        <v>162.0</v>
      </c>
      <c r="E6" s="187">
        <v>80.0</v>
      </c>
    </row>
    <row r="7">
      <c r="A7" s="180"/>
      <c r="B7" s="188" t="s">
        <v>217</v>
      </c>
      <c r="C7" s="189" t="s">
        <v>218</v>
      </c>
      <c r="D7" s="190" t="s">
        <v>219</v>
      </c>
      <c r="E7" s="190" t="s">
        <v>220</v>
      </c>
    </row>
    <row r="8">
      <c r="A8" s="180"/>
      <c r="B8" s="191" t="s">
        <v>221</v>
      </c>
      <c r="C8" s="192">
        <v>16.73</v>
      </c>
      <c r="D8" s="192">
        <v>6.7</v>
      </c>
      <c r="E8" s="192">
        <v>21.5</v>
      </c>
    </row>
    <row r="9">
      <c r="A9" s="180"/>
      <c r="B9" s="193" t="s">
        <v>222</v>
      </c>
      <c r="C9" s="194">
        <v>0.0302</v>
      </c>
      <c r="D9" s="194">
        <v>0.034</v>
      </c>
      <c r="E9" s="194">
        <v>0.0176</v>
      </c>
    </row>
    <row r="10">
      <c r="A10" s="180"/>
      <c r="B10" s="195" t="s">
        <v>223</v>
      </c>
      <c r="C10" s="196">
        <v>333.5</v>
      </c>
      <c r="D10" s="196">
        <v>683.86</v>
      </c>
      <c r="E10" s="196">
        <v>172.03</v>
      </c>
      <c r="F10" s="197"/>
      <c r="G10" s="197"/>
      <c r="H10" s="197"/>
      <c r="I10" s="197"/>
      <c r="J10" s="197"/>
      <c r="K10" s="197"/>
    </row>
    <row r="11">
      <c r="A11" s="180"/>
      <c r="B11" s="198" t="s">
        <v>224</v>
      </c>
      <c r="C11" s="199" t="s">
        <v>225</v>
      </c>
      <c r="D11" s="200" t="s">
        <v>226</v>
      </c>
      <c r="E11" s="200" t="s">
        <v>226</v>
      </c>
    </row>
  </sheetData>
  <mergeCells count="1">
    <mergeCell ref="A2:A11"/>
  </mergeCells>
  <hyperlinks>
    <hyperlink r:id="rId1" ref="C11"/>
    <hyperlink r:id="rId2" location="gid=182848992" ref="D11"/>
    <hyperlink r:id="rId3" location="gid=2104768177" ref="E11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51.75"/>
    <col customWidth="1" min="2" max="2" width="58.88"/>
    <col customWidth="1" min="3" max="3" width="33.13"/>
    <col customWidth="1" min="4" max="4" width="88.63"/>
  </cols>
  <sheetData>
    <row r="1">
      <c r="A1" s="201" t="s">
        <v>227</v>
      </c>
      <c r="B1" s="201" t="s">
        <v>228</v>
      </c>
      <c r="C1" s="201" t="s">
        <v>229</v>
      </c>
      <c r="D1" s="202" t="s">
        <v>230</v>
      </c>
      <c r="E1" s="202" t="s">
        <v>231</v>
      </c>
    </row>
    <row r="2">
      <c r="A2" s="203" t="s">
        <v>232</v>
      </c>
      <c r="B2" s="4" t="s">
        <v>233</v>
      </c>
      <c r="C2" s="4" t="s">
        <v>234</v>
      </c>
      <c r="D2" s="204" t="s">
        <v>235</v>
      </c>
      <c r="E2" s="4" t="s">
        <v>236</v>
      </c>
    </row>
    <row r="3">
      <c r="A3" s="203" t="s">
        <v>237</v>
      </c>
      <c r="B3" s="4" t="s">
        <v>238</v>
      </c>
      <c r="C3" s="4" t="s">
        <v>234</v>
      </c>
      <c r="D3" s="204" t="s">
        <v>239</v>
      </c>
      <c r="E3" s="4" t="s">
        <v>236</v>
      </c>
    </row>
    <row r="4">
      <c r="A4" s="205" t="s">
        <v>240</v>
      </c>
      <c r="B4" s="4" t="s">
        <v>241</v>
      </c>
      <c r="C4" s="4" t="s">
        <v>242</v>
      </c>
      <c r="D4" s="204" t="s">
        <v>243</v>
      </c>
      <c r="E4" s="4" t="s">
        <v>242</v>
      </c>
    </row>
    <row r="5">
      <c r="A5" s="203" t="s">
        <v>244</v>
      </c>
      <c r="B5" s="4" t="s">
        <v>245</v>
      </c>
      <c r="C5" s="4" t="s">
        <v>242</v>
      </c>
      <c r="D5" s="204" t="s">
        <v>243</v>
      </c>
      <c r="E5" s="4" t="s">
        <v>236</v>
      </c>
    </row>
    <row r="6">
      <c r="A6" s="203" t="s">
        <v>246</v>
      </c>
      <c r="B6" s="4" t="s">
        <v>247</v>
      </c>
      <c r="C6" s="4" t="s">
        <v>242</v>
      </c>
      <c r="D6" s="204" t="s">
        <v>248</v>
      </c>
      <c r="E6" s="4" t="s">
        <v>242</v>
      </c>
    </row>
    <row r="7">
      <c r="A7" s="205" t="s">
        <v>249</v>
      </c>
      <c r="B7" s="4" t="s">
        <v>250</v>
      </c>
      <c r="C7" s="4" t="s">
        <v>234</v>
      </c>
      <c r="D7" s="204" t="s">
        <v>251</v>
      </c>
      <c r="E7" s="4" t="s">
        <v>236</v>
      </c>
    </row>
    <row r="8">
      <c r="A8" s="203" t="s">
        <v>252</v>
      </c>
      <c r="B8" s="4" t="s">
        <v>250</v>
      </c>
      <c r="C8" s="4" t="s">
        <v>234</v>
      </c>
      <c r="D8" s="204" t="s">
        <v>253</v>
      </c>
      <c r="E8" s="4" t="s">
        <v>236</v>
      </c>
    </row>
    <row r="9">
      <c r="A9" s="203" t="s">
        <v>254</v>
      </c>
      <c r="B9" s="4" t="s">
        <v>255</v>
      </c>
      <c r="C9" s="4" t="s">
        <v>234</v>
      </c>
      <c r="D9" s="204" t="s">
        <v>256</v>
      </c>
      <c r="E9" s="4" t="s">
        <v>236</v>
      </c>
    </row>
    <row r="10">
      <c r="A10" s="203" t="s">
        <v>257</v>
      </c>
      <c r="B10" s="4" t="s">
        <v>258</v>
      </c>
      <c r="C10" s="4" t="s">
        <v>234</v>
      </c>
      <c r="D10" s="204" t="s">
        <v>259</v>
      </c>
      <c r="E10" s="4" t="s">
        <v>236</v>
      </c>
    </row>
    <row r="11">
      <c r="A11" s="205" t="s">
        <v>260</v>
      </c>
      <c r="B11" s="4" t="s">
        <v>261</v>
      </c>
      <c r="C11" s="4" t="s">
        <v>234</v>
      </c>
      <c r="D11" s="204" t="s">
        <v>239</v>
      </c>
      <c r="E11" s="4" t="s">
        <v>236</v>
      </c>
    </row>
    <row r="12">
      <c r="A12" s="205" t="s">
        <v>257</v>
      </c>
      <c r="B12" s="4" t="s">
        <v>262</v>
      </c>
      <c r="C12" s="4" t="s">
        <v>234</v>
      </c>
      <c r="D12" s="204" t="s">
        <v>259</v>
      </c>
      <c r="E12" s="4" t="s">
        <v>236</v>
      </c>
    </row>
    <row r="13" ht="19.5" customHeight="1">
      <c r="A13" s="205" t="s">
        <v>263</v>
      </c>
      <c r="B13" s="4" t="s">
        <v>264</v>
      </c>
      <c r="C13" s="4" t="s">
        <v>242</v>
      </c>
      <c r="D13" s="204" t="s">
        <v>265</v>
      </c>
      <c r="E13" s="4" t="s">
        <v>242</v>
      </c>
    </row>
    <row r="14">
      <c r="A14" s="203" t="s">
        <v>266</v>
      </c>
      <c r="B14" s="4" t="s">
        <v>267</v>
      </c>
      <c r="C14" s="4" t="s">
        <v>234</v>
      </c>
      <c r="D14" s="204" t="s">
        <v>268</v>
      </c>
      <c r="E14" s="4" t="s">
        <v>236</v>
      </c>
    </row>
    <row r="15">
      <c r="A15" s="203" t="s">
        <v>269</v>
      </c>
      <c r="B15" s="4" t="s">
        <v>270</v>
      </c>
      <c r="C15" s="4" t="s">
        <v>242</v>
      </c>
      <c r="D15" s="204" t="s">
        <v>235</v>
      </c>
      <c r="E15" s="4" t="s">
        <v>236</v>
      </c>
    </row>
    <row r="16">
      <c r="A16" s="205" t="s">
        <v>271</v>
      </c>
      <c r="B16" s="4" t="s">
        <v>272</v>
      </c>
      <c r="C16" s="4" t="s">
        <v>242</v>
      </c>
      <c r="D16" s="204" t="s">
        <v>243</v>
      </c>
      <c r="E16" s="4" t="s">
        <v>242</v>
      </c>
    </row>
    <row r="17">
      <c r="A17" s="205" t="s">
        <v>273</v>
      </c>
      <c r="B17" s="4" t="s">
        <v>274</v>
      </c>
      <c r="C17" s="4" t="s">
        <v>242</v>
      </c>
      <c r="D17" s="204" t="s">
        <v>275</v>
      </c>
      <c r="E17" s="4" t="s">
        <v>242</v>
      </c>
    </row>
    <row r="18">
      <c r="A18" s="205" t="s">
        <v>276</v>
      </c>
      <c r="B18" s="4" t="s">
        <v>272</v>
      </c>
      <c r="C18" s="4" t="s">
        <v>242</v>
      </c>
      <c r="D18" s="206"/>
      <c r="E18" s="4" t="s">
        <v>242</v>
      </c>
    </row>
    <row r="19">
      <c r="A19" s="203" t="s">
        <v>277</v>
      </c>
      <c r="B19" s="207" t="s">
        <v>278</v>
      </c>
      <c r="C19" s="4" t="s">
        <v>234</v>
      </c>
      <c r="D19" s="204" t="s">
        <v>279</v>
      </c>
      <c r="E19" s="4"/>
    </row>
    <row r="20">
      <c r="A20" s="205" t="s">
        <v>280</v>
      </c>
      <c r="B20" s="207" t="s">
        <v>278</v>
      </c>
      <c r="C20" s="4" t="s">
        <v>234</v>
      </c>
      <c r="D20" s="204" t="s">
        <v>279</v>
      </c>
      <c r="E20" s="4"/>
    </row>
    <row r="21">
      <c r="A21" s="205" t="s">
        <v>281</v>
      </c>
      <c r="B21" s="207" t="s">
        <v>278</v>
      </c>
      <c r="C21" s="4" t="s">
        <v>242</v>
      </c>
      <c r="D21" s="204" t="s">
        <v>282</v>
      </c>
      <c r="E21" s="4" t="s">
        <v>242</v>
      </c>
    </row>
    <row r="22">
      <c r="A22" s="205" t="s">
        <v>283</v>
      </c>
      <c r="B22" s="207" t="s">
        <v>278</v>
      </c>
      <c r="C22" s="4" t="s">
        <v>242</v>
      </c>
      <c r="D22" s="204" t="s">
        <v>284</v>
      </c>
      <c r="E22" s="4"/>
    </row>
    <row r="23">
      <c r="A23" s="205" t="s">
        <v>285</v>
      </c>
      <c r="B23" s="207" t="s">
        <v>278</v>
      </c>
      <c r="C23" s="4" t="s">
        <v>242</v>
      </c>
      <c r="D23" s="204" t="s">
        <v>284</v>
      </c>
      <c r="E23" s="4"/>
    </row>
    <row r="24">
      <c r="A24" s="205" t="s">
        <v>286</v>
      </c>
      <c r="B24" s="207" t="s">
        <v>278</v>
      </c>
      <c r="C24" s="4" t="s">
        <v>234</v>
      </c>
      <c r="D24" s="208" t="s">
        <v>287</v>
      </c>
      <c r="E24" s="4"/>
    </row>
    <row r="25">
      <c r="A25" s="205" t="s">
        <v>288</v>
      </c>
      <c r="B25" s="207" t="s">
        <v>278</v>
      </c>
      <c r="C25" s="4" t="s">
        <v>242</v>
      </c>
      <c r="D25" s="204" t="s">
        <v>289</v>
      </c>
      <c r="E25" s="4" t="s">
        <v>242</v>
      </c>
    </row>
    <row r="26">
      <c r="A26" s="205" t="s">
        <v>290</v>
      </c>
      <c r="B26" s="207" t="s">
        <v>278</v>
      </c>
      <c r="C26" s="4" t="s">
        <v>234</v>
      </c>
      <c r="D26" s="204" t="s">
        <v>291</v>
      </c>
      <c r="E26" s="4"/>
    </row>
    <row r="27">
      <c r="A27" s="205" t="s">
        <v>292</v>
      </c>
      <c r="B27" s="207" t="s">
        <v>278</v>
      </c>
      <c r="C27" s="4" t="s">
        <v>105</v>
      </c>
      <c r="D27" s="206"/>
      <c r="E27" s="4"/>
    </row>
    <row r="28">
      <c r="A28" s="205" t="s">
        <v>293</v>
      </c>
      <c r="B28" s="207" t="s">
        <v>278</v>
      </c>
      <c r="C28" s="4" t="s">
        <v>242</v>
      </c>
      <c r="D28" s="204" t="s">
        <v>294</v>
      </c>
      <c r="E28" s="4"/>
    </row>
    <row r="29">
      <c r="A29" s="209" t="s">
        <v>295</v>
      </c>
      <c r="B29" s="204" t="s">
        <v>296</v>
      </c>
      <c r="C29" s="4" t="s">
        <v>242</v>
      </c>
      <c r="D29" s="204" t="s">
        <v>297</v>
      </c>
      <c r="E29" s="4"/>
    </row>
    <row r="30">
      <c r="A30" s="205" t="s">
        <v>298</v>
      </c>
      <c r="B30" s="204" t="s">
        <v>299</v>
      </c>
      <c r="C30" s="4" t="s">
        <v>234</v>
      </c>
      <c r="D30" s="204" t="s">
        <v>300</v>
      </c>
      <c r="E30" s="4"/>
    </row>
    <row r="31" ht="46.5" customHeight="1">
      <c r="A31" s="205" t="s">
        <v>301</v>
      </c>
      <c r="B31" s="204" t="s">
        <v>302</v>
      </c>
      <c r="C31" s="4" t="s">
        <v>105</v>
      </c>
      <c r="D31" s="206"/>
      <c r="E31" s="4"/>
    </row>
    <row r="32">
      <c r="A32" s="205" t="s">
        <v>303</v>
      </c>
      <c r="B32" s="4" t="s">
        <v>299</v>
      </c>
      <c r="C32" s="4" t="s">
        <v>234</v>
      </c>
      <c r="D32" s="204" t="s">
        <v>300</v>
      </c>
      <c r="E32" s="4"/>
    </row>
    <row r="33">
      <c r="A33" s="205" t="s">
        <v>304</v>
      </c>
      <c r="B33" s="4" t="s">
        <v>305</v>
      </c>
      <c r="C33" s="4" t="s">
        <v>234</v>
      </c>
      <c r="D33" s="204" t="s">
        <v>306</v>
      </c>
      <c r="E33" s="4"/>
    </row>
    <row r="34">
      <c r="A34" s="205" t="s">
        <v>307</v>
      </c>
      <c r="B34" s="4" t="s">
        <v>308</v>
      </c>
      <c r="C34" s="4" t="s">
        <v>242</v>
      </c>
      <c r="D34" s="206"/>
      <c r="E34" s="4" t="s">
        <v>242</v>
      </c>
    </row>
    <row r="35">
      <c r="A35" s="205" t="s">
        <v>309</v>
      </c>
      <c r="B35" s="4" t="s">
        <v>310</v>
      </c>
      <c r="C35" s="4" t="s">
        <v>242</v>
      </c>
      <c r="D35" s="206"/>
      <c r="E35" s="4" t="s">
        <v>234</v>
      </c>
    </row>
    <row r="36">
      <c r="A36" s="205" t="s">
        <v>311</v>
      </c>
      <c r="B36" s="4" t="s">
        <v>312</v>
      </c>
      <c r="C36" s="4" t="s">
        <v>242</v>
      </c>
      <c r="D36" s="206"/>
      <c r="E36" s="4" t="s">
        <v>242</v>
      </c>
    </row>
    <row r="37">
      <c r="A37" s="203" t="s">
        <v>313</v>
      </c>
      <c r="B37" s="4" t="s">
        <v>314</v>
      </c>
      <c r="C37" s="4" t="s">
        <v>242</v>
      </c>
      <c r="D37" s="204" t="s">
        <v>315</v>
      </c>
    </row>
    <row r="38">
      <c r="C38" s="210"/>
      <c r="D38" s="206"/>
    </row>
    <row r="39">
      <c r="C39" s="210"/>
      <c r="D39" s="206"/>
    </row>
    <row r="40">
      <c r="C40" s="210"/>
      <c r="D40" s="206"/>
    </row>
    <row r="41">
      <c r="C41" s="210"/>
      <c r="D41" s="206"/>
    </row>
    <row r="42">
      <c r="C42" s="210"/>
      <c r="D42" s="206"/>
    </row>
    <row r="43">
      <c r="C43" s="210"/>
      <c r="D43" s="206"/>
    </row>
    <row r="44">
      <c r="C44" s="210"/>
      <c r="D44" s="206"/>
    </row>
    <row r="45">
      <c r="C45" s="210"/>
      <c r="D45" s="206"/>
    </row>
    <row r="46">
      <c r="C46" s="210"/>
      <c r="D46" s="206"/>
    </row>
    <row r="47">
      <c r="C47" s="210"/>
      <c r="D47" s="206"/>
    </row>
    <row r="48">
      <c r="C48" s="210"/>
      <c r="D48" s="206"/>
    </row>
    <row r="49">
      <c r="C49" s="210"/>
      <c r="D49" s="206"/>
    </row>
    <row r="50">
      <c r="C50" s="210"/>
      <c r="D50" s="206"/>
    </row>
    <row r="51">
      <c r="C51" s="210"/>
      <c r="D51" s="206"/>
    </row>
    <row r="52">
      <c r="C52" s="210"/>
      <c r="D52" s="206"/>
    </row>
    <row r="53">
      <c r="C53" s="210"/>
      <c r="D53" s="206"/>
    </row>
    <row r="54">
      <c r="C54" s="210"/>
      <c r="D54" s="206"/>
    </row>
    <row r="55">
      <c r="C55" s="210"/>
      <c r="D55" s="206"/>
    </row>
    <row r="56">
      <c r="C56" s="210"/>
      <c r="D56" s="206"/>
    </row>
    <row r="57">
      <c r="C57" s="210"/>
      <c r="D57" s="206"/>
    </row>
    <row r="58">
      <c r="C58" s="210"/>
      <c r="D58" s="206"/>
    </row>
    <row r="59">
      <c r="C59" s="210"/>
      <c r="D59" s="206"/>
    </row>
    <row r="60">
      <c r="C60" s="210"/>
      <c r="D60" s="206"/>
    </row>
    <row r="61">
      <c r="C61" s="210"/>
      <c r="D61" s="206"/>
    </row>
    <row r="62">
      <c r="C62" s="210"/>
      <c r="D62" s="206"/>
    </row>
    <row r="63">
      <c r="C63" s="210"/>
      <c r="D63" s="206"/>
    </row>
    <row r="64">
      <c r="C64" s="210"/>
      <c r="D64" s="206"/>
    </row>
    <row r="65">
      <c r="C65" s="210"/>
      <c r="D65" s="206"/>
    </row>
    <row r="66">
      <c r="C66" s="210"/>
      <c r="D66" s="206"/>
    </row>
    <row r="67">
      <c r="C67" s="210"/>
      <c r="D67" s="206"/>
    </row>
    <row r="68">
      <c r="C68" s="210"/>
      <c r="D68" s="206"/>
    </row>
    <row r="69">
      <c r="C69" s="210"/>
      <c r="D69" s="206"/>
    </row>
    <row r="70">
      <c r="C70" s="210"/>
      <c r="D70" s="206"/>
    </row>
    <row r="71">
      <c r="C71" s="210"/>
      <c r="D71" s="206"/>
    </row>
    <row r="72">
      <c r="C72" s="210"/>
      <c r="D72" s="206"/>
    </row>
    <row r="73">
      <c r="C73" s="210"/>
      <c r="D73" s="206"/>
    </row>
    <row r="74">
      <c r="C74" s="210"/>
      <c r="D74" s="206"/>
    </row>
    <row r="75">
      <c r="C75" s="210"/>
      <c r="D75" s="206"/>
    </row>
    <row r="76">
      <c r="C76" s="210"/>
      <c r="D76" s="206"/>
    </row>
    <row r="77">
      <c r="C77" s="210"/>
      <c r="D77" s="206"/>
    </row>
    <row r="78">
      <c r="C78" s="210"/>
      <c r="D78" s="206"/>
    </row>
    <row r="79">
      <c r="C79" s="210"/>
      <c r="D79" s="206"/>
    </row>
    <row r="80">
      <c r="C80" s="210"/>
      <c r="D80" s="206"/>
    </row>
    <row r="81">
      <c r="C81" s="210"/>
      <c r="D81" s="206"/>
    </row>
    <row r="82">
      <c r="C82" s="210"/>
      <c r="D82" s="206"/>
    </row>
    <row r="83">
      <c r="C83" s="210"/>
      <c r="D83" s="206"/>
    </row>
    <row r="84">
      <c r="C84" s="210"/>
      <c r="D84" s="206"/>
    </row>
    <row r="85">
      <c r="C85" s="210"/>
      <c r="D85" s="206"/>
    </row>
    <row r="86">
      <c r="C86" s="210"/>
      <c r="D86" s="206"/>
    </row>
    <row r="87">
      <c r="C87" s="210"/>
      <c r="D87" s="206"/>
    </row>
    <row r="88">
      <c r="C88" s="210"/>
      <c r="D88" s="206"/>
    </row>
    <row r="89">
      <c r="C89" s="210"/>
      <c r="D89" s="206"/>
    </row>
    <row r="90">
      <c r="C90" s="210"/>
      <c r="D90" s="206"/>
    </row>
    <row r="91">
      <c r="C91" s="210"/>
      <c r="D91" s="206"/>
    </row>
    <row r="92">
      <c r="C92" s="210"/>
      <c r="D92" s="206"/>
    </row>
    <row r="93">
      <c r="C93" s="210"/>
      <c r="D93" s="206"/>
    </row>
    <row r="94">
      <c r="C94" s="210"/>
      <c r="D94" s="206"/>
    </row>
    <row r="95">
      <c r="C95" s="210"/>
      <c r="D95" s="206"/>
    </row>
    <row r="96">
      <c r="C96" s="210"/>
      <c r="D96" s="206"/>
    </row>
    <row r="97">
      <c r="C97" s="210"/>
      <c r="D97" s="206"/>
    </row>
    <row r="98">
      <c r="C98" s="210"/>
      <c r="D98" s="206"/>
    </row>
    <row r="99">
      <c r="C99" s="210"/>
      <c r="D99" s="206"/>
    </row>
    <row r="100">
      <c r="C100" s="210"/>
      <c r="D100" s="206"/>
    </row>
    <row r="101">
      <c r="C101" s="210"/>
      <c r="D101" s="206"/>
    </row>
    <row r="102">
      <c r="C102" s="210"/>
      <c r="D102" s="206"/>
    </row>
    <row r="103">
      <c r="C103" s="210"/>
      <c r="D103" s="206"/>
    </row>
    <row r="104">
      <c r="C104" s="210"/>
      <c r="D104" s="206"/>
    </row>
    <row r="105">
      <c r="C105" s="210"/>
      <c r="D105" s="206"/>
    </row>
    <row r="106">
      <c r="C106" s="210"/>
      <c r="D106" s="206"/>
    </row>
    <row r="107">
      <c r="C107" s="210"/>
      <c r="D107" s="206"/>
    </row>
    <row r="108">
      <c r="C108" s="210"/>
      <c r="D108" s="206"/>
    </row>
    <row r="109">
      <c r="C109" s="210"/>
      <c r="D109" s="206"/>
    </row>
    <row r="110">
      <c r="C110" s="210"/>
      <c r="D110" s="206"/>
    </row>
    <row r="111">
      <c r="C111" s="210"/>
      <c r="D111" s="206"/>
    </row>
    <row r="112">
      <c r="C112" s="210"/>
      <c r="D112" s="206"/>
    </row>
    <row r="113">
      <c r="C113" s="210"/>
      <c r="D113" s="206"/>
    </row>
    <row r="114">
      <c r="C114" s="210"/>
      <c r="D114" s="206"/>
    </row>
    <row r="115">
      <c r="C115" s="210"/>
      <c r="D115" s="206"/>
    </row>
    <row r="116">
      <c r="C116" s="210"/>
      <c r="D116" s="206"/>
    </row>
    <row r="117">
      <c r="C117" s="210"/>
      <c r="D117" s="206"/>
    </row>
    <row r="118">
      <c r="C118" s="210"/>
      <c r="D118" s="206"/>
    </row>
    <row r="119">
      <c r="C119" s="210"/>
      <c r="D119" s="206"/>
    </row>
    <row r="120">
      <c r="C120" s="210"/>
      <c r="D120" s="206"/>
    </row>
    <row r="121">
      <c r="C121" s="210"/>
      <c r="D121" s="206"/>
    </row>
    <row r="122">
      <c r="C122" s="210"/>
      <c r="D122" s="206"/>
    </row>
    <row r="123">
      <c r="C123" s="210"/>
      <c r="D123" s="206"/>
    </row>
    <row r="124">
      <c r="C124" s="210"/>
      <c r="D124" s="206"/>
    </row>
    <row r="125">
      <c r="C125" s="210"/>
      <c r="D125" s="206"/>
    </row>
    <row r="126">
      <c r="C126" s="210"/>
      <c r="D126" s="206"/>
    </row>
    <row r="127">
      <c r="C127" s="210"/>
      <c r="D127" s="206"/>
    </row>
    <row r="128">
      <c r="C128" s="210"/>
      <c r="D128" s="206"/>
    </row>
    <row r="129">
      <c r="C129" s="210"/>
      <c r="D129" s="206"/>
    </row>
    <row r="130">
      <c r="C130" s="210"/>
      <c r="D130" s="206"/>
    </row>
    <row r="131">
      <c r="C131" s="210"/>
      <c r="D131" s="206"/>
    </row>
    <row r="132">
      <c r="C132" s="210"/>
      <c r="D132" s="206"/>
    </row>
    <row r="133">
      <c r="C133" s="210"/>
      <c r="D133" s="206"/>
    </row>
    <row r="134">
      <c r="C134" s="210"/>
      <c r="D134" s="206"/>
    </row>
    <row r="135">
      <c r="C135" s="210"/>
      <c r="D135" s="206"/>
    </row>
    <row r="136">
      <c r="C136" s="210"/>
      <c r="D136" s="206"/>
    </row>
    <row r="137">
      <c r="C137" s="210"/>
      <c r="D137" s="206"/>
    </row>
    <row r="138">
      <c r="C138" s="210"/>
      <c r="D138" s="206"/>
    </row>
    <row r="139">
      <c r="C139" s="210"/>
      <c r="D139" s="206"/>
    </row>
    <row r="140">
      <c r="C140" s="210"/>
      <c r="D140" s="206"/>
    </row>
    <row r="141">
      <c r="C141" s="210"/>
      <c r="D141" s="206"/>
    </row>
    <row r="142">
      <c r="C142" s="210"/>
      <c r="D142" s="206"/>
    </row>
    <row r="143">
      <c r="C143" s="210"/>
      <c r="D143" s="206"/>
    </row>
    <row r="144">
      <c r="C144" s="210"/>
      <c r="D144" s="206"/>
    </row>
    <row r="145">
      <c r="C145" s="210"/>
      <c r="D145" s="206"/>
    </row>
    <row r="146">
      <c r="C146" s="210"/>
      <c r="D146" s="206"/>
    </row>
    <row r="147">
      <c r="C147" s="210"/>
      <c r="D147" s="206"/>
    </row>
    <row r="148">
      <c r="C148" s="210"/>
      <c r="D148" s="206"/>
    </row>
    <row r="149">
      <c r="C149" s="210"/>
      <c r="D149" s="206"/>
    </row>
    <row r="150">
      <c r="C150" s="210"/>
      <c r="D150" s="206"/>
    </row>
    <row r="151">
      <c r="C151" s="210"/>
      <c r="D151" s="206"/>
    </row>
    <row r="152">
      <c r="C152" s="210"/>
      <c r="D152" s="206"/>
    </row>
    <row r="153">
      <c r="C153" s="210"/>
      <c r="D153" s="206"/>
    </row>
    <row r="154">
      <c r="C154" s="210"/>
      <c r="D154" s="206"/>
    </row>
    <row r="155">
      <c r="C155" s="210"/>
      <c r="D155" s="206"/>
    </row>
    <row r="156">
      <c r="C156" s="210"/>
      <c r="D156" s="206"/>
    </row>
    <row r="157">
      <c r="C157" s="210"/>
      <c r="D157" s="206"/>
    </row>
    <row r="158">
      <c r="C158" s="210"/>
      <c r="D158" s="206"/>
    </row>
    <row r="159">
      <c r="C159" s="210"/>
      <c r="D159" s="206"/>
    </row>
    <row r="160">
      <c r="C160" s="210"/>
      <c r="D160" s="206"/>
    </row>
    <row r="161">
      <c r="C161" s="210"/>
      <c r="D161" s="206"/>
    </row>
    <row r="162">
      <c r="C162" s="210"/>
      <c r="D162" s="206"/>
    </row>
    <row r="163">
      <c r="C163" s="210"/>
      <c r="D163" s="206"/>
    </row>
    <row r="164">
      <c r="C164" s="210"/>
      <c r="D164" s="206"/>
    </row>
    <row r="165">
      <c r="C165" s="210"/>
      <c r="D165" s="206"/>
    </row>
    <row r="166">
      <c r="C166" s="210"/>
      <c r="D166" s="206"/>
    </row>
    <row r="167">
      <c r="C167" s="210"/>
      <c r="D167" s="206"/>
    </row>
    <row r="168">
      <c r="C168" s="210"/>
      <c r="D168" s="206"/>
    </row>
    <row r="169">
      <c r="C169" s="210"/>
      <c r="D169" s="206"/>
    </row>
    <row r="170">
      <c r="C170" s="210"/>
      <c r="D170" s="206"/>
    </row>
    <row r="171">
      <c r="C171" s="210"/>
      <c r="D171" s="206"/>
    </row>
    <row r="172">
      <c r="C172" s="210"/>
      <c r="D172" s="206"/>
    </row>
    <row r="173">
      <c r="C173" s="210"/>
      <c r="D173" s="206"/>
    </row>
    <row r="174">
      <c r="C174" s="210"/>
      <c r="D174" s="206"/>
    </row>
    <row r="175">
      <c r="C175" s="210"/>
      <c r="D175" s="206"/>
    </row>
    <row r="176">
      <c r="C176" s="210"/>
      <c r="D176" s="206"/>
    </row>
    <row r="177">
      <c r="C177" s="210"/>
      <c r="D177" s="206"/>
    </row>
    <row r="178">
      <c r="C178" s="210"/>
      <c r="D178" s="206"/>
    </row>
    <row r="179">
      <c r="C179" s="210"/>
      <c r="D179" s="206"/>
    </row>
    <row r="180">
      <c r="C180" s="210"/>
      <c r="D180" s="206"/>
    </row>
    <row r="181">
      <c r="C181" s="210"/>
      <c r="D181" s="206"/>
    </row>
    <row r="182">
      <c r="C182" s="210"/>
      <c r="D182" s="206"/>
    </row>
    <row r="183">
      <c r="C183" s="210"/>
      <c r="D183" s="206"/>
    </row>
    <row r="184">
      <c r="C184" s="210"/>
      <c r="D184" s="206"/>
    </row>
    <row r="185">
      <c r="C185" s="210"/>
      <c r="D185" s="206"/>
    </row>
    <row r="186">
      <c r="C186" s="210"/>
      <c r="D186" s="206"/>
    </row>
    <row r="187">
      <c r="C187" s="210"/>
      <c r="D187" s="206"/>
    </row>
    <row r="188">
      <c r="C188" s="210"/>
      <c r="D188" s="206"/>
    </row>
    <row r="189">
      <c r="C189" s="210"/>
      <c r="D189" s="206"/>
    </row>
    <row r="190">
      <c r="C190" s="210"/>
      <c r="D190" s="206"/>
    </row>
    <row r="191">
      <c r="C191" s="210"/>
      <c r="D191" s="206"/>
    </row>
    <row r="192">
      <c r="C192" s="210"/>
      <c r="D192" s="206"/>
    </row>
    <row r="193">
      <c r="C193" s="210"/>
      <c r="D193" s="206"/>
    </row>
    <row r="194">
      <c r="C194" s="210"/>
      <c r="D194" s="206"/>
    </row>
    <row r="195">
      <c r="C195" s="210"/>
      <c r="D195" s="206"/>
    </row>
    <row r="196">
      <c r="C196" s="210"/>
      <c r="D196" s="206"/>
    </row>
    <row r="197">
      <c r="C197" s="210"/>
      <c r="D197" s="206"/>
    </row>
    <row r="198">
      <c r="C198" s="210"/>
      <c r="D198" s="206"/>
    </row>
    <row r="199">
      <c r="C199" s="210"/>
      <c r="D199" s="206"/>
    </row>
    <row r="200">
      <c r="C200" s="210"/>
      <c r="D200" s="206"/>
    </row>
    <row r="201">
      <c r="C201" s="210"/>
      <c r="D201" s="206"/>
    </row>
    <row r="202">
      <c r="C202" s="210"/>
      <c r="D202" s="206"/>
    </row>
    <row r="203">
      <c r="C203" s="210"/>
      <c r="D203" s="206"/>
    </row>
    <row r="204">
      <c r="C204" s="210"/>
      <c r="D204" s="206"/>
    </row>
    <row r="205">
      <c r="C205" s="210"/>
      <c r="D205" s="206"/>
    </row>
    <row r="206">
      <c r="C206" s="210"/>
      <c r="D206" s="206"/>
    </row>
    <row r="207">
      <c r="C207" s="210"/>
      <c r="D207" s="206"/>
    </row>
    <row r="208">
      <c r="C208" s="210"/>
      <c r="D208" s="206"/>
    </row>
    <row r="209">
      <c r="C209" s="210"/>
      <c r="D209" s="206"/>
    </row>
    <row r="210">
      <c r="C210" s="210"/>
      <c r="D210" s="206"/>
    </row>
    <row r="211">
      <c r="C211" s="210"/>
      <c r="D211" s="206"/>
    </row>
    <row r="212">
      <c r="C212" s="210"/>
      <c r="D212" s="206"/>
    </row>
    <row r="213">
      <c r="C213" s="210"/>
      <c r="D213" s="206"/>
    </row>
    <row r="214">
      <c r="C214" s="210"/>
      <c r="D214" s="206"/>
    </row>
    <row r="215">
      <c r="C215" s="210"/>
      <c r="D215" s="206"/>
    </row>
    <row r="216">
      <c r="C216" s="210"/>
      <c r="D216" s="206"/>
    </row>
    <row r="217">
      <c r="C217" s="210"/>
      <c r="D217" s="206"/>
    </row>
    <row r="218">
      <c r="C218" s="210"/>
      <c r="D218" s="206"/>
    </row>
    <row r="219">
      <c r="C219" s="210"/>
      <c r="D219" s="206"/>
    </row>
    <row r="220">
      <c r="C220" s="210"/>
      <c r="D220" s="206"/>
    </row>
    <row r="221">
      <c r="C221" s="210"/>
      <c r="D221" s="206"/>
    </row>
    <row r="222">
      <c r="C222" s="210"/>
      <c r="D222" s="206"/>
    </row>
    <row r="223">
      <c r="C223" s="210"/>
      <c r="D223" s="206"/>
    </row>
    <row r="224">
      <c r="C224" s="210"/>
      <c r="D224" s="206"/>
    </row>
    <row r="225">
      <c r="C225" s="210"/>
      <c r="D225" s="206"/>
    </row>
    <row r="226">
      <c r="C226" s="210"/>
      <c r="D226" s="206"/>
    </row>
    <row r="227">
      <c r="C227" s="210"/>
      <c r="D227" s="206"/>
    </row>
    <row r="228">
      <c r="C228" s="210"/>
      <c r="D228" s="206"/>
    </row>
    <row r="229">
      <c r="C229" s="210"/>
      <c r="D229" s="206"/>
    </row>
    <row r="230">
      <c r="C230" s="210"/>
      <c r="D230" s="206"/>
    </row>
    <row r="231">
      <c r="C231" s="210"/>
      <c r="D231" s="206"/>
    </row>
    <row r="232">
      <c r="C232" s="210"/>
      <c r="D232" s="206"/>
    </row>
    <row r="233">
      <c r="C233" s="210"/>
      <c r="D233" s="206"/>
    </row>
    <row r="234">
      <c r="C234" s="210"/>
      <c r="D234" s="206"/>
    </row>
    <row r="235">
      <c r="C235" s="210"/>
      <c r="D235" s="206"/>
    </row>
    <row r="236">
      <c r="C236" s="210"/>
      <c r="D236" s="206"/>
    </row>
    <row r="237">
      <c r="C237" s="210"/>
      <c r="D237" s="206"/>
    </row>
    <row r="238">
      <c r="C238" s="210"/>
      <c r="D238" s="206"/>
    </row>
    <row r="239">
      <c r="C239" s="210"/>
      <c r="D239" s="206"/>
    </row>
    <row r="240">
      <c r="C240" s="210"/>
      <c r="D240" s="206"/>
    </row>
    <row r="241">
      <c r="C241" s="210"/>
      <c r="D241" s="206"/>
    </row>
    <row r="242">
      <c r="C242" s="210"/>
      <c r="D242" s="206"/>
    </row>
    <row r="243">
      <c r="C243" s="210"/>
      <c r="D243" s="206"/>
    </row>
    <row r="244">
      <c r="C244" s="210"/>
      <c r="D244" s="206"/>
    </row>
    <row r="245">
      <c r="C245" s="210"/>
      <c r="D245" s="206"/>
    </row>
    <row r="246">
      <c r="C246" s="210"/>
      <c r="D246" s="206"/>
    </row>
    <row r="247">
      <c r="C247" s="210"/>
      <c r="D247" s="206"/>
    </row>
    <row r="248">
      <c r="C248" s="210"/>
      <c r="D248" s="206"/>
    </row>
    <row r="249">
      <c r="C249" s="210"/>
      <c r="D249" s="206"/>
    </row>
    <row r="250">
      <c r="C250" s="210"/>
      <c r="D250" s="206"/>
    </row>
    <row r="251">
      <c r="C251" s="210"/>
      <c r="D251" s="206"/>
    </row>
    <row r="252">
      <c r="C252" s="210"/>
      <c r="D252" s="206"/>
    </row>
    <row r="253">
      <c r="C253" s="210"/>
      <c r="D253" s="206"/>
    </row>
    <row r="254">
      <c r="C254" s="210"/>
      <c r="D254" s="206"/>
    </row>
    <row r="255">
      <c r="C255" s="210"/>
      <c r="D255" s="206"/>
    </row>
    <row r="256">
      <c r="C256" s="210"/>
      <c r="D256" s="206"/>
    </row>
    <row r="257">
      <c r="C257" s="210"/>
      <c r="D257" s="206"/>
    </row>
    <row r="258">
      <c r="C258" s="210"/>
      <c r="D258" s="206"/>
    </row>
    <row r="259">
      <c r="C259" s="210"/>
      <c r="D259" s="206"/>
    </row>
    <row r="260">
      <c r="C260" s="210"/>
      <c r="D260" s="206"/>
    </row>
    <row r="261">
      <c r="C261" s="210"/>
      <c r="D261" s="206"/>
    </row>
    <row r="262">
      <c r="C262" s="210"/>
      <c r="D262" s="206"/>
    </row>
    <row r="263">
      <c r="C263" s="210"/>
      <c r="D263" s="206"/>
    </row>
    <row r="264">
      <c r="C264" s="210"/>
      <c r="D264" s="206"/>
    </row>
    <row r="265">
      <c r="C265" s="210"/>
      <c r="D265" s="206"/>
    </row>
    <row r="266">
      <c r="C266" s="210"/>
      <c r="D266" s="206"/>
    </row>
    <row r="267">
      <c r="C267" s="210"/>
      <c r="D267" s="206"/>
    </row>
    <row r="268">
      <c r="C268" s="210"/>
      <c r="D268" s="206"/>
    </row>
    <row r="269">
      <c r="C269" s="210"/>
      <c r="D269" s="206"/>
    </row>
    <row r="270">
      <c r="C270" s="210"/>
      <c r="D270" s="206"/>
    </row>
    <row r="271">
      <c r="C271" s="210"/>
      <c r="D271" s="206"/>
    </row>
    <row r="272">
      <c r="C272" s="210"/>
      <c r="D272" s="206"/>
    </row>
    <row r="273">
      <c r="C273" s="210"/>
      <c r="D273" s="206"/>
    </row>
    <row r="274">
      <c r="C274" s="210"/>
      <c r="D274" s="206"/>
    </row>
    <row r="275">
      <c r="C275" s="210"/>
      <c r="D275" s="206"/>
    </row>
    <row r="276">
      <c r="C276" s="210"/>
      <c r="D276" s="206"/>
    </row>
    <row r="277">
      <c r="C277" s="210"/>
      <c r="D277" s="206"/>
    </row>
    <row r="278">
      <c r="C278" s="210"/>
      <c r="D278" s="206"/>
    </row>
    <row r="279">
      <c r="C279" s="210"/>
      <c r="D279" s="206"/>
    </row>
    <row r="280">
      <c r="C280" s="210"/>
      <c r="D280" s="206"/>
    </row>
    <row r="281">
      <c r="C281" s="210"/>
      <c r="D281" s="206"/>
    </row>
    <row r="282">
      <c r="C282" s="210"/>
      <c r="D282" s="206"/>
    </row>
    <row r="283">
      <c r="C283" s="210"/>
      <c r="D283" s="206"/>
    </row>
    <row r="284">
      <c r="C284" s="210"/>
      <c r="D284" s="206"/>
    </row>
    <row r="285">
      <c r="C285" s="210"/>
      <c r="D285" s="206"/>
    </row>
    <row r="286">
      <c r="C286" s="210"/>
      <c r="D286" s="206"/>
    </row>
    <row r="287">
      <c r="C287" s="210"/>
      <c r="D287" s="206"/>
    </row>
    <row r="288">
      <c r="C288" s="210"/>
      <c r="D288" s="206"/>
    </row>
    <row r="289">
      <c r="C289" s="210"/>
      <c r="D289" s="206"/>
    </row>
    <row r="290">
      <c r="C290" s="210"/>
      <c r="D290" s="206"/>
    </row>
    <row r="291">
      <c r="C291" s="210"/>
      <c r="D291" s="206"/>
    </row>
    <row r="292">
      <c r="C292" s="210"/>
      <c r="D292" s="206"/>
    </row>
    <row r="293">
      <c r="C293" s="210"/>
      <c r="D293" s="206"/>
    </row>
    <row r="294">
      <c r="C294" s="210"/>
      <c r="D294" s="206"/>
    </row>
    <row r="295">
      <c r="C295" s="210"/>
      <c r="D295" s="206"/>
    </row>
    <row r="296">
      <c r="C296" s="210"/>
      <c r="D296" s="206"/>
    </row>
    <row r="297">
      <c r="C297" s="210"/>
      <c r="D297" s="206"/>
    </row>
    <row r="298">
      <c r="C298" s="210"/>
      <c r="D298" s="206"/>
    </row>
    <row r="299">
      <c r="C299" s="210"/>
      <c r="D299" s="206"/>
    </row>
    <row r="300">
      <c r="C300" s="210"/>
      <c r="D300" s="206"/>
    </row>
    <row r="301">
      <c r="C301" s="210"/>
      <c r="D301" s="206"/>
    </row>
    <row r="302">
      <c r="C302" s="210"/>
      <c r="D302" s="206"/>
    </row>
    <row r="303">
      <c r="C303" s="210"/>
      <c r="D303" s="206"/>
    </row>
    <row r="304">
      <c r="C304" s="210"/>
      <c r="D304" s="206"/>
    </row>
    <row r="305">
      <c r="C305" s="210"/>
      <c r="D305" s="206"/>
    </row>
    <row r="306">
      <c r="C306" s="210"/>
      <c r="D306" s="206"/>
    </row>
    <row r="307">
      <c r="C307" s="210"/>
      <c r="D307" s="206"/>
    </row>
    <row r="308">
      <c r="C308" s="210"/>
      <c r="D308" s="206"/>
    </row>
    <row r="309">
      <c r="C309" s="210"/>
      <c r="D309" s="206"/>
    </row>
    <row r="310">
      <c r="C310" s="210"/>
      <c r="D310" s="206"/>
    </row>
    <row r="311">
      <c r="C311" s="210"/>
      <c r="D311" s="206"/>
    </row>
    <row r="312">
      <c r="C312" s="210"/>
      <c r="D312" s="206"/>
    </row>
    <row r="313">
      <c r="C313" s="210"/>
      <c r="D313" s="206"/>
    </row>
    <row r="314">
      <c r="C314" s="210"/>
      <c r="D314" s="206"/>
    </row>
    <row r="315">
      <c r="C315" s="210"/>
      <c r="D315" s="206"/>
    </row>
    <row r="316">
      <c r="C316" s="210"/>
      <c r="D316" s="206"/>
    </row>
    <row r="317">
      <c r="C317" s="210"/>
      <c r="D317" s="206"/>
    </row>
    <row r="318">
      <c r="C318" s="210"/>
      <c r="D318" s="206"/>
    </row>
    <row r="319">
      <c r="C319" s="210"/>
      <c r="D319" s="206"/>
    </row>
    <row r="320">
      <c r="C320" s="210"/>
      <c r="D320" s="206"/>
    </row>
    <row r="321">
      <c r="C321" s="210"/>
      <c r="D321" s="206"/>
    </row>
    <row r="322">
      <c r="C322" s="210"/>
      <c r="D322" s="206"/>
    </row>
    <row r="323">
      <c r="C323" s="210"/>
      <c r="D323" s="206"/>
    </row>
    <row r="324">
      <c r="C324" s="210"/>
      <c r="D324" s="206"/>
    </row>
    <row r="325">
      <c r="C325" s="210"/>
      <c r="D325" s="206"/>
    </row>
    <row r="326">
      <c r="C326" s="210"/>
      <c r="D326" s="206"/>
    </row>
    <row r="327">
      <c r="C327" s="210"/>
      <c r="D327" s="206"/>
    </row>
    <row r="328">
      <c r="C328" s="210"/>
      <c r="D328" s="206"/>
    </row>
    <row r="329">
      <c r="C329" s="210"/>
      <c r="D329" s="206"/>
    </row>
    <row r="330">
      <c r="C330" s="210"/>
      <c r="D330" s="206"/>
    </row>
    <row r="331">
      <c r="C331" s="210"/>
      <c r="D331" s="206"/>
    </row>
    <row r="332">
      <c r="C332" s="210"/>
      <c r="D332" s="206"/>
    </row>
    <row r="333">
      <c r="C333" s="210"/>
      <c r="D333" s="206"/>
    </row>
    <row r="334">
      <c r="C334" s="210"/>
      <c r="D334" s="206"/>
    </row>
    <row r="335">
      <c r="C335" s="210"/>
      <c r="D335" s="206"/>
    </row>
    <row r="336">
      <c r="C336" s="210"/>
      <c r="D336" s="206"/>
    </row>
    <row r="337">
      <c r="C337" s="210"/>
      <c r="D337" s="206"/>
    </row>
    <row r="338">
      <c r="C338" s="210"/>
      <c r="D338" s="206"/>
    </row>
    <row r="339">
      <c r="C339" s="210"/>
      <c r="D339" s="206"/>
    </row>
    <row r="340">
      <c r="C340" s="210"/>
      <c r="D340" s="206"/>
    </row>
    <row r="341">
      <c r="C341" s="210"/>
      <c r="D341" s="206"/>
    </row>
    <row r="342">
      <c r="C342" s="210"/>
      <c r="D342" s="206"/>
    </row>
    <row r="343">
      <c r="C343" s="210"/>
      <c r="D343" s="206"/>
    </row>
    <row r="344">
      <c r="C344" s="210"/>
      <c r="D344" s="206"/>
    </row>
    <row r="345">
      <c r="C345" s="210"/>
      <c r="D345" s="206"/>
    </row>
    <row r="346">
      <c r="C346" s="210"/>
      <c r="D346" s="206"/>
    </row>
    <row r="347">
      <c r="C347" s="210"/>
      <c r="D347" s="206"/>
    </row>
    <row r="348">
      <c r="C348" s="210"/>
      <c r="D348" s="206"/>
    </row>
    <row r="349">
      <c r="C349" s="210"/>
      <c r="D349" s="206"/>
    </row>
    <row r="350">
      <c r="C350" s="210"/>
      <c r="D350" s="206"/>
    </row>
    <row r="351">
      <c r="C351" s="210"/>
      <c r="D351" s="206"/>
    </row>
    <row r="352">
      <c r="C352" s="210"/>
      <c r="D352" s="206"/>
    </row>
    <row r="353">
      <c r="C353" s="210"/>
      <c r="D353" s="206"/>
    </row>
    <row r="354">
      <c r="C354" s="210"/>
      <c r="D354" s="206"/>
    </row>
    <row r="355">
      <c r="C355" s="210"/>
      <c r="D355" s="206"/>
    </row>
    <row r="356">
      <c r="C356" s="210"/>
      <c r="D356" s="206"/>
    </row>
    <row r="357">
      <c r="C357" s="210"/>
      <c r="D357" s="206"/>
    </row>
    <row r="358">
      <c r="C358" s="210"/>
      <c r="D358" s="206"/>
    </row>
    <row r="359">
      <c r="C359" s="210"/>
      <c r="D359" s="206"/>
    </row>
    <row r="360">
      <c r="C360" s="210"/>
      <c r="D360" s="206"/>
    </row>
    <row r="361">
      <c r="C361" s="210"/>
      <c r="D361" s="206"/>
    </row>
    <row r="362">
      <c r="C362" s="210"/>
      <c r="D362" s="206"/>
    </row>
    <row r="363">
      <c r="C363" s="210"/>
      <c r="D363" s="206"/>
    </row>
    <row r="364">
      <c r="C364" s="210"/>
      <c r="D364" s="206"/>
    </row>
    <row r="365">
      <c r="C365" s="210"/>
      <c r="D365" s="206"/>
    </row>
    <row r="366">
      <c r="C366" s="210"/>
      <c r="D366" s="206"/>
    </row>
    <row r="367">
      <c r="C367" s="210"/>
      <c r="D367" s="206"/>
    </row>
    <row r="368">
      <c r="C368" s="210"/>
      <c r="D368" s="206"/>
    </row>
    <row r="369">
      <c r="C369" s="210"/>
      <c r="D369" s="206"/>
    </row>
    <row r="370">
      <c r="C370" s="210"/>
      <c r="D370" s="206"/>
    </row>
    <row r="371">
      <c r="C371" s="210"/>
      <c r="D371" s="206"/>
    </row>
    <row r="372">
      <c r="C372" s="210"/>
      <c r="D372" s="206"/>
    </row>
    <row r="373">
      <c r="C373" s="210"/>
      <c r="D373" s="206"/>
    </row>
    <row r="374">
      <c r="C374" s="210"/>
      <c r="D374" s="206"/>
    </row>
    <row r="375">
      <c r="C375" s="210"/>
      <c r="D375" s="206"/>
    </row>
    <row r="376">
      <c r="C376" s="210"/>
      <c r="D376" s="206"/>
    </row>
    <row r="377">
      <c r="C377" s="210"/>
      <c r="D377" s="206"/>
    </row>
    <row r="378">
      <c r="C378" s="210"/>
      <c r="D378" s="206"/>
    </row>
    <row r="379">
      <c r="C379" s="210"/>
      <c r="D379" s="206"/>
    </row>
    <row r="380">
      <c r="C380" s="210"/>
      <c r="D380" s="206"/>
    </row>
    <row r="381">
      <c r="C381" s="210"/>
      <c r="D381" s="206"/>
    </row>
    <row r="382">
      <c r="C382" s="210"/>
      <c r="D382" s="206"/>
    </row>
    <row r="383">
      <c r="C383" s="210"/>
      <c r="D383" s="206"/>
    </row>
    <row r="384">
      <c r="C384" s="210"/>
      <c r="D384" s="206"/>
    </row>
    <row r="385">
      <c r="C385" s="210"/>
      <c r="D385" s="206"/>
    </row>
    <row r="386">
      <c r="C386" s="210"/>
      <c r="D386" s="206"/>
    </row>
    <row r="387">
      <c r="C387" s="210"/>
      <c r="D387" s="206"/>
    </row>
    <row r="388">
      <c r="C388" s="210"/>
      <c r="D388" s="206"/>
    </row>
    <row r="389">
      <c r="C389" s="210"/>
      <c r="D389" s="206"/>
    </row>
    <row r="390">
      <c r="C390" s="210"/>
      <c r="D390" s="206"/>
    </row>
    <row r="391">
      <c r="C391" s="210"/>
      <c r="D391" s="206"/>
    </row>
    <row r="392">
      <c r="C392" s="210"/>
      <c r="D392" s="206"/>
    </row>
    <row r="393">
      <c r="C393" s="210"/>
      <c r="D393" s="206"/>
    </row>
    <row r="394">
      <c r="C394" s="210"/>
      <c r="D394" s="206"/>
    </row>
    <row r="395">
      <c r="C395" s="210"/>
      <c r="D395" s="206"/>
    </row>
    <row r="396">
      <c r="C396" s="210"/>
      <c r="D396" s="206"/>
    </row>
    <row r="397">
      <c r="C397" s="210"/>
      <c r="D397" s="206"/>
    </row>
    <row r="398">
      <c r="C398" s="210"/>
      <c r="D398" s="206"/>
    </row>
    <row r="399">
      <c r="C399" s="210"/>
      <c r="D399" s="206"/>
    </row>
    <row r="400">
      <c r="C400" s="210"/>
      <c r="D400" s="206"/>
    </row>
    <row r="401">
      <c r="C401" s="210"/>
      <c r="D401" s="206"/>
    </row>
    <row r="402">
      <c r="C402" s="210"/>
      <c r="D402" s="206"/>
    </row>
    <row r="403">
      <c r="C403" s="210"/>
      <c r="D403" s="206"/>
    </row>
    <row r="404">
      <c r="C404" s="210"/>
      <c r="D404" s="206"/>
    </row>
    <row r="405">
      <c r="C405" s="210"/>
      <c r="D405" s="206"/>
    </row>
    <row r="406">
      <c r="C406" s="210"/>
      <c r="D406" s="206"/>
    </row>
    <row r="407">
      <c r="C407" s="210"/>
      <c r="D407" s="206"/>
    </row>
    <row r="408">
      <c r="C408" s="210"/>
      <c r="D408" s="206"/>
    </row>
    <row r="409">
      <c r="C409" s="210"/>
      <c r="D409" s="206"/>
    </row>
    <row r="410">
      <c r="C410" s="210"/>
      <c r="D410" s="206"/>
    </row>
    <row r="411">
      <c r="C411" s="210"/>
      <c r="D411" s="206"/>
    </row>
    <row r="412">
      <c r="C412" s="210"/>
      <c r="D412" s="206"/>
    </row>
    <row r="413">
      <c r="C413" s="210"/>
      <c r="D413" s="206"/>
    </row>
    <row r="414">
      <c r="C414" s="210"/>
      <c r="D414" s="206"/>
    </row>
    <row r="415">
      <c r="C415" s="210"/>
      <c r="D415" s="206"/>
    </row>
    <row r="416">
      <c r="C416" s="210"/>
      <c r="D416" s="206"/>
    </row>
    <row r="417">
      <c r="C417" s="210"/>
      <c r="D417" s="206"/>
    </row>
    <row r="418">
      <c r="C418" s="210"/>
      <c r="D418" s="206"/>
    </row>
    <row r="419">
      <c r="C419" s="210"/>
      <c r="D419" s="206"/>
    </row>
    <row r="420">
      <c r="C420" s="210"/>
      <c r="D420" s="206"/>
    </row>
    <row r="421">
      <c r="C421" s="210"/>
      <c r="D421" s="206"/>
    </row>
    <row r="422">
      <c r="C422" s="210"/>
      <c r="D422" s="206"/>
    </row>
    <row r="423">
      <c r="C423" s="210"/>
      <c r="D423" s="206"/>
    </row>
    <row r="424">
      <c r="C424" s="210"/>
      <c r="D424" s="206"/>
    </row>
    <row r="425">
      <c r="C425" s="210"/>
      <c r="D425" s="206"/>
    </row>
    <row r="426">
      <c r="C426" s="210"/>
      <c r="D426" s="206"/>
    </row>
    <row r="427">
      <c r="C427" s="210"/>
      <c r="D427" s="206"/>
    </row>
    <row r="428">
      <c r="C428" s="210"/>
      <c r="D428" s="206"/>
    </row>
    <row r="429">
      <c r="C429" s="210"/>
      <c r="D429" s="206"/>
    </row>
    <row r="430">
      <c r="C430" s="210"/>
      <c r="D430" s="206"/>
    </row>
    <row r="431">
      <c r="C431" s="210"/>
      <c r="D431" s="206"/>
    </row>
    <row r="432">
      <c r="C432" s="210"/>
      <c r="D432" s="206"/>
    </row>
    <row r="433">
      <c r="C433" s="210"/>
      <c r="D433" s="206"/>
    </row>
    <row r="434">
      <c r="C434" s="210"/>
      <c r="D434" s="206"/>
    </row>
    <row r="435">
      <c r="C435" s="210"/>
      <c r="D435" s="206"/>
    </row>
    <row r="436">
      <c r="C436" s="210"/>
      <c r="D436" s="206"/>
    </row>
    <row r="437">
      <c r="C437" s="210"/>
      <c r="D437" s="206"/>
    </row>
    <row r="438">
      <c r="C438" s="210"/>
      <c r="D438" s="206"/>
    </row>
    <row r="439">
      <c r="C439" s="210"/>
      <c r="D439" s="206"/>
    </row>
    <row r="440">
      <c r="C440" s="210"/>
      <c r="D440" s="206"/>
    </row>
    <row r="441">
      <c r="C441" s="210"/>
      <c r="D441" s="206"/>
    </row>
    <row r="442">
      <c r="C442" s="210"/>
      <c r="D442" s="206"/>
    </row>
    <row r="443">
      <c r="C443" s="210"/>
      <c r="D443" s="206"/>
    </row>
    <row r="444">
      <c r="C444" s="210"/>
      <c r="D444" s="206"/>
    </row>
    <row r="445">
      <c r="C445" s="210"/>
      <c r="D445" s="206"/>
    </row>
    <row r="446">
      <c r="C446" s="210"/>
      <c r="D446" s="206"/>
    </row>
    <row r="447">
      <c r="C447" s="210"/>
      <c r="D447" s="206"/>
    </row>
    <row r="448">
      <c r="C448" s="210"/>
      <c r="D448" s="206"/>
    </row>
    <row r="449">
      <c r="C449" s="210"/>
      <c r="D449" s="206"/>
    </row>
    <row r="450">
      <c r="C450" s="210"/>
      <c r="D450" s="206"/>
    </row>
    <row r="451">
      <c r="C451" s="210"/>
      <c r="D451" s="206"/>
    </row>
    <row r="452">
      <c r="C452" s="210"/>
      <c r="D452" s="206"/>
    </row>
    <row r="453">
      <c r="C453" s="210"/>
      <c r="D453" s="206"/>
    </row>
    <row r="454">
      <c r="C454" s="210"/>
      <c r="D454" s="206"/>
    </row>
    <row r="455">
      <c r="C455" s="210"/>
      <c r="D455" s="206"/>
    </row>
    <row r="456">
      <c r="C456" s="210"/>
      <c r="D456" s="206"/>
    </row>
    <row r="457">
      <c r="C457" s="210"/>
      <c r="D457" s="206"/>
    </row>
    <row r="458">
      <c r="C458" s="210"/>
      <c r="D458" s="206"/>
    </row>
    <row r="459">
      <c r="C459" s="210"/>
      <c r="D459" s="206"/>
    </row>
    <row r="460">
      <c r="C460" s="210"/>
      <c r="D460" s="206"/>
    </row>
    <row r="461">
      <c r="C461" s="210"/>
      <c r="D461" s="206"/>
    </row>
    <row r="462">
      <c r="C462" s="210"/>
      <c r="D462" s="206"/>
    </row>
    <row r="463">
      <c r="C463" s="210"/>
      <c r="D463" s="206"/>
    </row>
    <row r="464">
      <c r="C464" s="210"/>
      <c r="D464" s="206"/>
    </row>
    <row r="465">
      <c r="C465" s="210"/>
      <c r="D465" s="206"/>
    </row>
    <row r="466">
      <c r="C466" s="210"/>
      <c r="D466" s="206"/>
    </row>
    <row r="467">
      <c r="C467" s="210"/>
      <c r="D467" s="206"/>
    </row>
    <row r="468">
      <c r="C468" s="210"/>
      <c r="D468" s="206"/>
    </row>
    <row r="469">
      <c r="C469" s="210"/>
      <c r="D469" s="206"/>
    </row>
    <row r="470">
      <c r="C470" s="210"/>
      <c r="D470" s="206"/>
    </row>
    <row r="471">
      <c r="C471" s="210"/>
      <c r="D471" s="206"/>
    </row>
    <row r="472">
      <c r="C472" s="210"/>
      <c r="D472" s="206"/>
    </row>
    <row r="473">
      <c r="C473" s="210"/>
      <c r="D473" s="206"/>
    </row>
    <row r="474">
      <c r="C474" s="210"/>
      <c r="D474" s="206"/>
    </row>
    <row r="475">
      <c r="C475" s="210"/>
      <c r="D475" s="206"/>
    </row>
    <row r="476">
      <c r="C476" s="210"/>
      <c r="D476" s="206"/>
    </row>
    <row r="477">
      <c r="C477" s="210"/>
      <c r="D477" s="206"/>
    </row>
    <row r="478">
      <c r="C478" s="210"/>
      <c r="D478" s="206"/>
    </row>
    <row r="479">
      <c r="C479" s="210"/>
      <c r="D479" s="206"/>
    </row>
    <row r="480">
      <c r="C480" s="210"/>
      <c r="D480" s="206"/>
    </row>
    <row r="481">
      <c r="C481" s="210"/>
      <c r="D481" s="206"/>
    </row>
    <row r="482">
      <c r="C482" s="210"/>
      <c r="D482" s="206"/>
    </row>
    <row r="483">
      <c r="C483" s="210"/>
      <c r="D483" s="206"/>
    </row>
    <row r="484">
      <c r="C484" s="210"/>
      <c r="D484" s="206"/>
    </row>
    <row r="485">
      <c r="C485" s="210"/>
      <c r="D485" s="206"/>
    </row>
    <row r="486">
      <c r="C486" s="210"/>
      <c r="D486" s="206"/>
    </row>
    <row r="487">
      <c r="C487" s="210"/>
      <c r="D487" s="206"/>
    </row>
    <row r="488">
      <c r="C488" s="210"/>
      <c r="D488" s="206"/>
    </row>
    <row r="489">
      <c r="C489" s="210"/>
      <c r="D489" s="206"/>
    </row>
    <row r="490">
      <c r="C490" s="210"/>
      <c r="D490" s="206"/>
    </row>
    <row r="491">
      <c r="C491" s="210"/>
      <c r="D491" s="206"/>
    </row>
    <row r="492">
      <c r="C492" s="210"/>
      <c r="D492" s="206"/>
    </row>
    <row r="493">
      <c r="C493" s="210"/>
      <c r="D493" s="206"/>
    </row>
    <row r="494">
      <c r="C494" s="210"/>
      <c r="D494" s="206"/>
    </row>
    <row r="495">
      <c r="C495" s="210"/>
      <c r="D495" s="206"/>
    </row>
    <row r="496">
      <c r="C496" s="210"/>
      <c r="D496" s="206"/>
    </row>
    <row r="497">
      <c r="C497" s="210"/>
      <c r="D497" s="206"/>
    </row>
    <row r="498">
      <c r="C498" s="210"/>
      <c r="D498" s="206"/>
    </row>
    <row r="499">
      <c r="C499" s="210"/>
      <c r="D499" s="206"/>
    </row>
    <row r="500">
      <c r="C500" s="210"/>
      <c r="D500" s="206"/>
    </row>
    <row r="501">
      <c r="C501" s="210"/>
      <c r="D501" s="206"/>
    </row>
    <row r="502">
      <c r="C502" s="210"/>
      <c r="D502" s="206"/>
    </row>
    <row r="503">
      <c r="C503" s="210"/>
      <c r="D503" s="206"/>
    </row>
    <row r="504">
      <c r="C504" s="210"/>
      <c r="D504" s="206"/>
    </row>
    <row r="505">
      <c r="C505" s="210"/>
      <c r="D505" s="206"/>
    </row>
    <row r="506">
      <c r="C506" s="210"/>
      <c r="D506" s="206"/>
    </row>
    <row r="507">
      <c r="C507" s="210"/>
      <c r="D507" s="206"/>
    </row>
    <row r="508">
      <c r="C508" s="210"/>
      <c r="D508" s="206"/>
    </row>
    <row r="509">
      <c r="C509" s="210"/>
      <c r="D509" s="206"/>
    </row>
    <row r="510">
      <c r="C510" s="210"/>
      <c r="D510" s="206"/>
    </row>
    <row r="511">
      <c r="C511" s="210"/>
      <c r="D511" s="206"/>
    </row>
    <row r="512">
      <c r="C512" s="210"/>
      <c r="D512" s="206"/>
    </row>
    <row r="513">
      <c r="C513" s="210"/>
      <c r="D513" s="206"/>
    </row>
    <row r="514">
      <c r="C514" s="210"/>
      <c r="D514" s="206"/>
    </row>
    <row r="515">
      <c r="C515" s="210"/>
      <c r="D515" s="206"/>
    </row>
    <row r="516">
      <c r="C516" s="210"/>
      <c r="D516" s="206"/>
    </row>
    <row r="517">
      <c r="C517" s="210"/>
      <c r="D517" s="206"/>
    </row>
    <row r="518">
      <c r="C518" s="210"/>
      <c r="D518" s="206"/>
    </row>
    <row r="519">
      <c r="C519" s="210"/>
      <c r="D519" s="206"/>
    </row>
    <row r="520">
      <c r="C520" s="210"/>
      <c r="D520" s="206"/>
    </row>
    <row r="521">
      <c r="C521" s="210"/>
      <c r="D521" s="206"/>
    </row>
    <row r="522">
      <c r="C522" s="210"/>
      <c r="D522" s="206"/>
    </row>
    <row r="523">
      <c r="C523" s="210"/>
      <c r="D523" s="206"/>
    </row>
    <row r="524">
      <c r="C524" s="210"/>
      <c r="D524" s="206"/>
    </row>
    <row r="525">
      <c r="C525" s="210"/>
      <c r="D525" s="206"/>
    </row>
    <row r="526">
      <c r="C526" s="210"/>
      <c r="D526" s="206"/>
    </row>
    <row r="527">
      <c r="C527" s="210"/>
      <c r="D527" s="206"/>
    </row>
    <row r="528">
      <c r="C528" s="210"/>
      <c r="D528" s="206"/>
    </row>
    <row r="529">
      <c r="C529" s="210"/>
      <c r="D529" s="206"/>
    </row>
    <row r="530">
      <c r="C530" s="210"/>
      <c r="D530" s="206"/>
    </row>
    <row r="531">
      <c r="C531" s="210"/>
      <c r="D531" s="206"/>
    </row>
    <row r="532">
      <c r="C532" s="210"/>
      <c r="D532" s="206"/>
    </row>
    <row r="533">
      <c r="C533" s="210"/>
      <c r="D533" s="206"/>
    </row>
    <row r="534">
      <c r="C534" s="210"/>
      <c r="D534" s="206"/>
    </row>
    <row r="535">
      <c r="C535" s="210"/>
      <c r="D535" s="206"/>
    </row>
    <row r="536">
      <c r="C536" s="210"/>
      <c r="D536" s="206"/>
    </row>
    <row r="537">
      <c r="C537" s="210"/>
      <c r="D537" s="206"/>
    </row>
    <row r="538">
      <c r="C538" s="210"/>
      <c r="D538" s="206"/>
    </row>
    <row r="539">
      <c r="C539" s="210"/>
      <c r="D539" s="206"/>
    </row>
    <row r="540">
      <c r="C540" s="210"/>
      <c r="D540" s="206"/>
    </row>
    <row r="541">
      <c r="C541" s="210"/>
      <c r="D541" s="206"/>
    </row>
    <row r="542">
      <c r="C542" s="210"/>
      <c r="D542" s="206"/>
    </row>
    <row r="543">
      <c r="C543" s="210"/>
      <c r="D543" s="206"/>
    </row>
    <row r="544">
      <c r="C544" s="210"/>
      <c r="D544" s="206"/>
    </row>
    <row r="545">
      <c r="C545" s="210"/>
      <c r="D545" s="206"/>
    </row>
    <row r="546">
      <c r="C546" s="210"/>
      <c r="D546" s="206"/>
    </row>
    <row r="547">
      <c r="C547" s="210"/>
      <c r="D547" s="206"/>
    </row>
    <row r="548">
      <c r="C548" s="210"/>
      <c r="D548" s="206"/>
    </row>
    <row r="549">
      <c r="C549" s="210"/>
      <c r="D549" s="206"/>
    </row>
    <row r="550">
      <c r="C550" s="210"/>
      <c r="D550" s="206"/>
    </row>
    <row r="551">
      <c r="C551" s="210"/>
      <c r="D551" s="206"/>
    </row>
    <row r="552">
      <c r="C552" s="210"/>
      <c r="D552" s="206"/>
    </row>
    <row r="553">
      <c r="C553" s="210"/>
      <c r="D553" s="206"/>
    </row>
    <row r="554">
      <c r="C554" s="210"/>
      <c r="D554" s="206"/>
    </row>
    <row r="555">
      <c r="C555" s="210"/>
      <c r="D555" s="206"/>
    </row>
    <row r="556">
      <c r="C556" s="210"/>
      <c r="D556" s="206"/>
    </row>
    <row r="557">
      <c r="C557" s="210"/>
      <c r="D557" s="206"/>
    </row>
    <row r="558">
      <c r="C558" s="210"/>
      <c r="D558" s="206"/>
    </row>
    <row r="559">
      <c r="C559" s="210"/>
      <c r="D559" s="206"/>
    </row>
    <row r="560">
      <c r="C560" s="210"/>
      <c r="D560" s="206"/>
    </row>
    <row r="561">
      <c r="C561" s="210"/>
      <c r="D561" s="206"/>
    </row>
    <row r="562">
      <c r="C562" s="210"/>
      <c r="D562" s="206"/>
    </row>
    <row r="563">
      <c r="C563" s="210"/>
      <c r="D563" s="206"/>
    </row>
    <row r="564">
      <c r="C564" s="210"/>
      <c r="D564" s="206"/>
    </row>
    <row r="565">
      <c r="C565" s="210"/>
      <c r="D565" s="206"/>
    </row>
    <row r="566">
      <c r="C566" s="210"/>
      <c r="D566" s="206"/>
    </row>
    <row r="567">
      <c r="C567" s="210"/>
      <c r="D567" s="206"/>
    </row>
    <row r="568">
      <c r="C568" s="210"/>
      <c r="D568" s="206"/>
    </row>
    <row r="569">
      <c r="C569" s="210"/>
      <c r="D569" s="206"/>
    </row>
    <row r="570">
      <c r="C570" s="210"/>
      <c r="D570" s="206"/>
    </row>
    <row r="571">
      <c r="C571" s="210"/>
      <c r="D571" s="206"/>
    </row>
    <row r="572">
      <c r="C572" s="210"/>
      <c r="D572" s="206"/>
    </row>
    <row r="573">
      <c r="C573" s="210"/>
      <c r="D573" s="206"/>
    </row>
    <row r="574">
      <c r="C574" s="210"/>
      <c r="D574" s="206"/>
    </row>
    <row r="575">
      <c r="C575" s="210"/>
      <c r="D575" s="206"/>
    </row>
    <row r="576">
      <c r="C576" s="210"/>
      <c r="D576" s="206"/>
    </row>
    <row r="577">
      <c r="C577" s="210"/>
      <c r="D577" s="206"/>
    </row>
    <row r="578">
      <c r="C578" s="210"/>
      <c r="D578" s="206"/>
    </row>
    <row r="579">
      <c r="C579" s="210"/>
      <c r="D579" s="206"/>
    </row>
    <row r="580">
      <c r="C580" s="210"/>
      <c r="D580" s="206"/>
    </row>
    <row r="581">
      <c r="C581" s="210"/>
      <c r="D581" s="206"/>
    </row>
    <row r="582">
      <c r="C582" s="210"/>
      <c r="D582" s="206"/>
    </row>
    <row r="583">
      <c r="C583" s="210"/>
      <c r="D583" s="206"/>
    </row>
    <row r="584">
      <c r="C584" s="210"/>
      <c r="D584" s="206"/>
    </row>
    <row r="585">
      <c r="C585" s="210"/>
      <c r="D585" s="206"/>
    </row>
    <row r="586">
      <c r="C586" s="210"/>
      <c r="D586" s="206"/>
    </row>
    <row r="587">
      <c r="C587" s="210"/>
      <c r="D587" s="206"/>
    </row>
    <row r="588">
      <c r="C588" s="210"/>
      <c r="D588" s="206"/>
    </row>
    <row r="589">
      <c r="C589" s="210"/>
      <c r="D589" s="206"/>
    </row>
    <row r="590">
      <c r="C590" s="210"/>
      <c r="D590" s="206"/>
    </row>
    <row r="591">
      <c r="C591" s="210"/>
      <c r="D591" s="206"/>
    </row>
    <row r="592">
      <c r="C592" s="210"/>
      <c r="D592" s="206"/>
    </row>
    <row r="593">
      <c r="C593" s="210"/>
      <c r="D593" s="206"/>
    </row>
    <row r="594">
      <c r="C594" s="210"/>
      <c r="D594" s="206"/>
    </row>
    <row r="595">
      <c r="C595" s="210"/>
      <c r="D595" s="206"/>
    </row>
    <row r="596">
      <c r="C596" s="210"/>
      <c r="D596" s="206"/>
    </row>
    <row r="597">
      <c r="C597" s="210"/>
      <c r="D597" s="206"/>
    </row>
    <row r="598">
      <c r="C598" s="210"/>
      <c r="D598" s="206"/>
    </row>
    <row r="599">
      <c r="C599" s="210"/>
      <c r="D599" s="206"/>
    </row>
    <row r="600">
      <c r="C600" s="210"/>
      <c r="D600" s="206"/>
    </row>
    <row r="601">
      <c r="C601" s="210"/>
      <c r="D601" s="206"/>
    </row>
    <row r="602">
      <c r="C602" s="210"/>
      <c r="D602" s="206"/>
    </row>
    <row r="603">
      <c r="C603" s="210"/>
      <c r="D603" s="206"/>
    </row>
    <row r="604">
      <c r="C604" s="210"/>
      <c r="D604" s="206"/>
    </row>
    <row r="605">
      <c r="C605" s="210"/>
      <c r="D605" s="206"/>
    </row>
    <row r="606">
      <c r="C606" s="210"/>
      <c r="D606" s="206"/>
    </row>
    <row r="607">
      <c r="C607" s="210"/>
      <c r="D607" s="206"/>
    </row>
    <row r="608">
      <c r="C608" s="210"/>
      <c r="D608" s="206"/>
    </row>
    <row r="609">
      <c r="C609" s="210"/>
      <c r="D609" s="206"/>
    </row>
    <row r="610">
      <c r="C610" s="210"/>
      <c r="D610" s="206"/>
    </row>
    <row r="611">
      <c r="C611" s="210"/>
      <c r="D611" s="206"/>
    </row>
    <row r="612">
      <c r="C612" s="210"/>
      <c r="D612" s="206"/>
    </row>
    <row r="613">
      <c r="C613" s="210"/>
      <c r="D613" s="206"/>
    </row>
    <row r="614">
      <c r="C614" s="210"/>
      <c r="D614" s="206"/>
    </row>
    <row r="615">
      <c r="C615" s="210"/>
      <c r="D615" s="206"/>
    </row>
    <row r="616">
      <c r="C616" s="210"/>
      <c r="D616" s="206"/>
    </row>
    <row r="617">
      <c r="C617" s="210"/>
      <c r="D617" s="206"/>
    </row>
    <row r="618">
      <c r="C618" s="210"/>
      <c r="D618" s="206"/>
    </row>
    <row r="619">
      <c r="C619" s="210"/>
      <c r="D619" s="206"/>
    </row>
    <row r="620">
      <c r="C620" s="210"/>
      <c r="D620" s="206"/>
    </row>
    <row r="621">
      <c r="C621" s="210"/>
      <c r="D621" s="206"/>
    </row>
    <row r="622">
      <c r="C622" s="210"/>
      <c r="D622" s="206"/>
    </row>
    <row r="623">
      <c r="C623" s="210"/>
      <c r="D623" s="206"/>
    </row>
    <row r="624">
      <c r="C624" s="210"/>
      <c r="D624" s="206"/>
    </row>
    <row r="625">
      <c r="C625" s="210"/>
      <c r="D625" s="206"/>
    </row>
    <row r="626">
      <c r="C626" s="210"/>
      <c r="D626" s="206"/>
    </row>
    <row r="627">
      <c r="C627" s="210"/>
      <c r="D627" s="206"/>
    </row>
    <row r="628">
      <c r="C628" s="210"/>
      <c r="D628" s="206"/>
    </row>
    <row r="629">
      <c r="C629" s="210"/>
      <c r="D629" s="206"/>
    </row>
    <row r="630">
      <c r="C630" s="210"/>
      <c r="D630" s="206"/>
    </row>
    <row r="631">
      <c r="C631" s="210"/>
      <c r="D631" s="206"/>
    </row>
    <row r="632">
      <c r="C632" s="210"/>
      <c r="D632" s="206"/>
    </row>
    <row r="633">
      <c r="C633" s="210"/>
      <c r="D633" s="206"/>
    </row>
    <row r="634">
      <c r="C634" s="210"/>
      <c r="D634" s="206"/>
    </row>
    <row r="635">
      <c r="C635" s="210"/>
      <c r="D635" s="206"/>
    </row>
    <row r="636">
      <c r="C636" s="210"/>
      <c r="D636" s="206"/>
    </row>
    <row r="637">
      <c r="C637" s="210"/>
      <c r="D637" s="206"/>
    </row>
    <row r="638">
      <c r="C638" s="210"/>
      <c r="D638" s="206"/>
    </row>
    <row r="639">
      <c r="C639" s="210"/>
      <c r="D639" s="206"/>
    </row>
    <row r="640">
      <c r="C640" s="210"/>
      <c r="D640" s="206"/>
    </row>
    <row r="641">
      <c r="C641" s="210"/>
      <c r="D641" s="206"/>
    </row>
    <row r="642">
      <c r="C642" s="210"/>
      <c r="D642" s="206"/>
    </row>
    <row r="643">
      <c r="C643" s="210"/>
      <c r="D643" s="206"/>
    </row>
    <row r="644">
      <c r="C644" s="210"/>
      <c r="D644" s="206"/>
    </row>
    <row r="645">
      <c r="C645" s="210"/>
      <c r="D645" s="206"/>
    </row>
    <row r="646">
      <c r="C646" s="210"/>
      <c r="D646" s="206"/>
    </row>
    <row r="647">
      <c r="C647" s="210"/>
      <c r="D647" s="206"/>
    </row>
    <row r="648">
      <c r="C648" s="210"/>
      <c r="D648" s="206"/>
    </row>
    <row r="649">
      <c r="C649" s="210"/>
      <c r="D649" s="206"/>
    </row>
    <row r="650">
      <c r="C650" s="210"/>
      <c r="D650" s="206"/>
    </row>
    <row r="651">
      <c r="C651" s="210"/>
      <c r="D651" s="206"/>
    </row>
    <row r="652">
      <c r="C652" s="210"/>
      <c r="D652" s="206"/>
    </row>
    <row r="653">
      <c r="C653" s="210"/>
      <c r="D653" s="206"/>
    </row>
    <row r="654">
      <c r="C654" s="210"/>
      <c r="D654" s="206"/>
    </row>
    <row r="655">
      <c r="C655" s="210"/>
      <c r="D655" s="206"/>
    </row>
    <row r="656">
      <c r="C656" s="210"/>
      <c r="D656" s="206"/>
    </row>
    <row r="657">
      <c r="C657" s="210"/>
      <c r="D657" s="206"/>
    </row>
    <row r="658">
      <c r="C658" s="210"/>
      <c r="D658" s="206"/>
    </row>
    <row r="659">
      <c r="C659" s="210"/>
      <c r="D659" s="206"/>
    </row>
    <row r="660">
      <c r="C660" s="210"/>
      <c r="D660" s="206"/>
    </row>
    <row r="661">
      <c r="C661" s="210"/>
      <c r="D661" s="206"/>
    </row>
    <row r="662">
      <c r="C662" s="210"/>
      <c r="D662" s="206"/>
    </row>
    <row r="663">
      <c r="C663" s="210"/>
      <c r="D663" s="206"/>
    </row>
    <row r="664">
      <c r="C664" s="210"/>
      <c r="D664" s="206"/>
    </row>
    <row r="665">
      <c r="C665" s="210"/>
      <c r="D665" s="206"/>
    </row>
    <row r="666">
      <c r="C666" s="210"/>
      <c r="D666" s="206"/>
    </row>
    <row r="667">
      <c r="C667" s="210"/>
      <c r="D667" s="206"/>
    </row>
    <row r="668">
      <c r="C668" s="210"/>
      <c r="D668" s="206"/>
    </row>
    <row r="669">
      <c r="C669" s="210"/>
      <c r="D669" s="206"/>
    </row>
    <row r="670">
      <c r="C670" s="210"/>
      <c r="D670" s="206"/>
    </row>
    <row r="671">
      <c r="C671" s="210"/>
      <c r="D671" s="206"/>
    </row>
    <row r="672">
      <c r="C672" s="210"/>
      <c r="D672" s="206"/>
    </row>
    <row r="673">
      <c r="C673" s="210"/>
      <c r="D673" s="206"/>
    </row>
    <row r="674">
      <c r="C674" s="210"/>
      <c r="D674" s="206"/>
    </row>
    <row r="675">
      <c r="C675" s="210"/>
      <c r="D675" s="206"/>
    </row>
    <row r="676">
      <c r="C676" s="210"/>
      <c r="D676" s="206"/>
    </row>
    <row r="677">
      <c r="C677" s="210"/>
      <c r="D677" s="206"/>
    </row>
    <row r="678">
      <c r="C678" s="210"/>
      <c r="D678" s="206"/>
    </row>
    <row r="679">
      <c r="C679" s="210"/>
      <c r="D679" s="206"/>
    </row>
    <row r="680">
      <c r="C680" s="210"/>
      <c r="D680" s="206"/>
    </row>
    <row r="681">
      <c r="C681" s="210"/>
      <c r="D681" s="206"/>
    </row>
    <row r="682">
      <c r="C682" s="210"/>
      <c r="D682" s="206"/>
    </row>
    <row r="683">
      <c r="C683" s="210"/>
      <c r="D683" s="206"/>
    </row>
    <row r="684">
      <c r="C684" s="210"/>
      <c r="D684" s="206"/>
    </row>
    <row r="685">
      <c r="C685" s="210"/>
      <c r="D685" s="206"/>
    </row>
    <row r="686">
      <c r="C686" s="210"/>
      <c r="D686" s="206"/>
    </row>
    <row r="687">
      <c r="C687" s="210"/>
      <c r="D687" s="206"/>
    </row>
    <row r="688">
      <c r="C688" s="210"/>
      <c r="D688" s="206"/>
    </row>
    <row r="689">
      <c r="C689" s="210"/>
      <c r="D689" s="206"/>
    </row>
    <row r="690">
      <c r="C690" s="210"/>
      <c r="D690" s="206"/>
    </row>
    <row r="691">
      <c r="C691" s="210"/>
      <c r="D691" s="206"/>
    </row>
    <row r="692">
      <c r="C692" s="210"/>
      <c r="D692" s="206"/>
    </row>
    <row r="693">
      <c r="C693" s="210"/>
      <c r="D693" s="206"/>
    </row>
    <row r="694">
      <c r="C694" s="210"/>
      <c r="D694" s="206"/>
    </row>
    <row r="695">
      <c r="C695" s="210"/>
      <c r="D695" s="206"/>
    </row>
    <row r="696">
      <c r="C696" s="210"/>
      <c r="D696" s="206"/>
    </row>
    <row r="697">
      <c r="C697" s="210"/>
      <c r="D697" s="206"/>
    </row>
    <row r="698">
      <c r="C698" s="210"/>
      <c r="D698" s="206"/>
    </row>
    <row r="699">
      <c r="C699" s="210"/>
      <c r="D699" s="206"/>
    </row>
    <row r="700">
      <c r="C700" s="210"/>
      <c r="D700" s="206"/>
    </row>
    <row r="701">
      <c r="C701" s="210"/>
      <c r="D701" s="206"/>
    </row>
    <row r="702">
      <c r="C702" s="210"/>
      <c r="D702" s="206"/>
    </row>
    <row r="703">
      <c r="C703" s="210"/>
      <c r="D703" s="206"/>
    </row>
    <row r="704">
      <c r="C704" s="210"/>
      <c r="D704" s="206"/>
    </row>
    <row r="705">
      <c r="C705" s="210"/>
      <c r="D705" s="206"/>
    </row>
    <row r="706">
      <c r="C706" s="210"/>
      <c r="D706" s="206"/>
    </row>
    <row r="707">
      <c r="C707" s="210"/>
      <c r="D707" s="206"/>
    </row>
    <row r="708">
      <c r="C708" s="210"/>
      <c r="D708" s="206"/>
    </row>
    <row r="709">
      <c r="C709" s="210"/>
      <c r="D709" s="206"/>
    </row>
    <row r="710">
      <c r="C710" s="210"/>
      <c r="D710" s="206"/>
    </row>
    <row r="711">
      <c r="C711" s="210"/>
      <c r="D711" s="206"/>
    </row>
    <row r="712">
      <c r="C712" s="210"/>
      <c r="D712" s="206"/>
    </row>
    <row r="713">
      <c r="C713" s="210"/>
      <c r="D713" s="206"/>
    </row>
    <row r="714">
      <c r="C714" s="210"/>
      <c r="D714" s="206"/>
    </row>
    <row r="715">
      <c r="C715" s="210"/>
      <c r="D715" s="206"/>
    </row>
    <row r="716">
      <c r="C716" s="210"/>
      <c r="D716" s="206"/>
    </row>
    <row r="717">
      <c r="C717" s="210"/>
      <c r="D717" s="206"/>
    </row>
    <row r="718">
      <c r="C718" s="210"/>
      <c r="D718" s="206"/>
    </row>
    <row r="719">
      <c r="C719" s="210"/>
      <c r="D719" s="206"/>
    </row>
    <row r="720">
      <c r="C720" s="210"/>
      <c r="D720" s="206"/>
    </row>
    <row r="721">
      <c r="C721" s="210"/>
      <c r="D721" s="206"/>
    </row>
    <row r="722">
      <c r="C722" s="210"/>
      <c r="D722" s="206"/>
    </row>
    <row r="723">
      <c r="C723" s="210"/>
      <c r="D723" s="206"/>
    </row>
    <row r="724">
      <c r="C724" s="210"/>
      <c r="D724" s="206"/>
    </row>
    <row r="725">
      <c r="C725" s="210"/>
      <c r="D725" s="206"/>
    </row>
    <row r="726">
      <c r="C726" s="210"/>
      <c r="D726" s="206"/>
    </row>
    <row r="727">
      <c r="C727" s="210"/>
      <c r="D727" s="206"/>
    </row>
    <row r="728">
      <c r="C728" s="210"/>
      <c r="D728" s="206"/>
    </row>
    <row r="729">
      <c r="C729" s="210"/>
      <c r="D729" s="206"/>
    </row>
    <row r="730">
      <c r="C730" s="210"/>
      <c r="D730" s="206"/>
    </row>
    <row r="731">
      <c r="C731" s="210"/>
      <c r="D731" s="206"/>
    </row>
    <row r="732">
      <c r="C732" s="210"/>
      <c r="D732" s="206"/>
    </row>
    <row r="733">
      <c r="C733" s="210"/>
      <c r="D733" s="206"/>
    </row>
    <row r="734">
      <c r="C734" s="210"/>
      <c r="D734" s="206"/>
    </row>
    <row r="735">
      <c r="C735" s="210"/>
      <c r="D735" s="206"/>
    </row>
    <row r="736">
      <c r="C736" s="210"/>
      <c r="D736" s="206"/>
    </row>
    <row r="737">
      <c r="C737" s="210"/>
      <c r="D737" s="206"/>
    </row>
    <row r="738">
      <c r="C738" s="210"/>
      <c r="D738" s="206"/>
    </row>
    <row r="739">
      <c r="C739" s="210"/>
      <c r="D739" s="206"/>
    </row>
    <row r="740">
      <c r="C740" s="210"/>
      <c r="D740" s="206"/>
    </row>
    <row r="741">
      <c r="C741" s="210"/>
      <c r="D741" s="206"/>
    </row>
    <row r="742">
      <c r="C742" s="210"/>
      <c r="D742" s="206"/>
    </row>
    <row r="743">
      <c r="C743" s="210"/>
      <c r="D743" s="206"/>
    </row>
    <row r="744">
      <c r="C744" s="210"/>
      <c r="D744" s="206"/>
    </row>
    <row r="745">
      <c r="C745" s="210"/>
      <c r="D745" s="206"/>
    </row>
    <row r="746">
      <c r="C746" s="210"/>
      <c r="D746" s="206"/>
    </row>
    <row r="747">
      <c r="C747" s="210"/>
      <c r="D747" s="206"/>
    </row>
    <row r="748">
      <c r="C748" s="210"/>
      <c r="D748" s="206"/>
    </row>
    <row r="749">
      <c r="C749" s="210"/>
      <c r="D749" s="206"/>
    </row>
    <row r="750">
      <c r="C750" s="210"/>
      <c r="D750" s="206"/>
    </row>
    <row r="751">
      <c r="C751" s="210"/>
      <c r="D751" s="206"/>
    </row>
    <row r="752">
      <c r="C752" s="210"/>
      <c r="D752" s="206"/>
    </row>
    <row r="753">
      <c r="C753" s="210"/>
      <c r="D753" s="206"/>
    </row>
    <row r="754">
      <c r="C754" s="210"/>
      <c r="D754" s="206"/>
    </row>
    <row r="755">
      <c r="C755" s="210"/>
      <c r="D755" s="206"/>
    </row>
    <row r="756">
      <c r="C756" s="210"/>
      <c r="D756" s="206"/>
    </row>
    <row r="757">
      <c r="C757" s="210"/>
      <c r="D757" s="206"/>
    </row>
    <row r="758">
      <c r="C758" s="210"/>
      <c r="D758" s="206"/>
    </row>
    <row r="759">
      <c r="C759" s="210"/>
      <c r="D759" s="206"/>
    </row>
    <row r="760">
      <c r="C760" s="210"/>
      <c r="D760" s="206"/>
    </row>
    <row r="761">
      <c r="C761" s="210"/>
      <c r="D761" s="206"/>
    </row>
    <row r="762">
      <c r="C762" s="210"/>
      <c r="D762" s="206"/>
    </row>
    <row r="763">
      <c r="C763" s="210"/>
      <c r="D763" s="206"/>
    </row>
    <row r="764">
      <c r="C764" s="210"/>
      <c r="D764" s="206"/>
    </row>
    <row r="765">
      <c r="C765" s="210"/>
      <c r="D765" s="206"/>
    </row>
    <row r="766">
      <c r="C766" s="210"/>
      <c r="D766" s="206"/>
    </row>
    <row r="767">
      <c r="C767" s="210"/>
      <c r="D767" s="206"/>
    </row>
    <row r="768">
      <c r="C768" s="210"/>
      <c r="D768" s="206"/>
    </row>
    <row r="769">
      <c r="C769" s="210"/>
      <c r="D769" s="206"/>
    </row>
    <row r="770">
      <c r="C770" s="210"/>
      <c r="D770" s="206"/>
    </row>
    <row r="771">
      <c r="C771" s="210"/>
      <c r="D771" s="206"/>
    </row>
    <row r="772">
      <c r="C772" s="210"/>
      <c r="D772" s="206"/>
    </row>
    <row r="773">
      <c r="C773" s="210"/>
      <c r="D773" s="206"/>
    </row>
    <row r="774">
      <c r="C774" s="210"/>
      <c r="D774" s="206"/>
    </row>
    <row r="775">
      <c r="C775" s="210"/>
      <c r="D775" s="206"/>
    </row>
    <row r="776">
      <c r="C776" s="210"/>
      <c r="D776" s="206"/>
    </row>
    <row r="777">
      <c r="C777" s="210"/>
      <c r="D777" s="206"/>
    </row>
    <row r="778">
      <c r="C778" s="210"/>
      <c r="D778" s="206"/>
    </row>
    <row r="779">
      <c r="C779" s="210"/>
      <c r="D779" s="206"/>
    </row>
    <row r="780">
      <c r="C780" s="210"/>
      <c r="D780" s="206"/>
    </row>
    <row r="781">
      <c r="C781" s="210"/>
      <c r="D781" s="206"/>
    </row>
    <row r="782">
      <c r="C782" s="210"/>
      <c r="D782" s="206"/>
    </row>
    <row r="783">
      <c r="C783" s="210"/>
      <c r="D783" s="206"/>
    </row>
    <row r="784">
      <c r="C784" s="210"/>
      <c r="D784" s="206"/>
    </row>
    <row r="785">
      <c r="C785" s="210"/>
      <c r="D785" s="206"/>
    </row>
    <row r="786">
      <c r="C786" s="210"/>
      <c r="D786" s="206"/>
    </row>
    <row r="787">
      <c r="C787" s="210"/>
      <c r="D787" s="206"/>
    </row>
    <row r="788">
      <c r="C788" s="210"/>
      <c r="D788" s="206"/>
    </row>
    <row r="789">
      <c r="C789" s="210"/>
      <c r="D789" s="206"/>
    </row>
    <row r="790">
      <c r="C790" s="210"/>
      <c r="D790" s="206"/>
    </row>
    <row r="791">
      <c r="C791" s="210"/>
      <c r="D791" s="206"/>
    </row>
    <row r="792">
      <c r="C792" s="210"/>
      <c r="D792" s="206"/>
    </row>
    <row r="793">
      <c r="C793" s="210"/>
      <c r="D793" s="206"/>
    </row>
    <row r="794">
      <c r="C794" s="210"/>
      <c r="D794" s="206"/>
    </row>
    <row r="795">
      <c r="C795" s="210"/>
      <c r="D795" s="206"/>
    </row>
    <row r="796">
      <c r="C796" s="210"/>
      <c r="D796" s="206"/>
    </row>
    <row r="797">
      <c r="C797" s="210"/>
      <c r="D797" s="206"/>
    </row>
    <row r="798">
      <c r="C798" s="210"/>
      <c r="D798" s="206"/>
    </row>
    <row r="799">
      <c r="C799" s="210"/>
      <c r="D799" s="206"/>
    </row>
    <row r="800">
      <c r="C800" s="210"/>
      <c r="D800" s="206"/>
    </row>
    <row r="801">
      <c r="C801" s="210"/>
      <c r="D801" s="206"/>
    </row>
    <row r="802">
      <c r="C802" s="210"/>
      <c r="D802" s="206"/>
    </row>
    <row r="803">
      <c r="C803" s="210"/>
      <c r="D803" s="206"/>
    </row>
    <row r="804">
      <c r="C804" s="210"/>
      <c r="D804" s="206"/>
    </row>
    <row r="805">
      <c r="C805" s="210"/>
      <c r="D805" s="206"/>
    </row>
    <row r="806">
      <c r="C806" s="210"/>
      <c r="D806" s="206"/>
    </row>
    <row r="807">
      <c r="C807" s="210"/>
      <c r="D807" s="206"/>
    </row>
    <row r="808">
      <c r="C808" s="210"/>
      <c r="D808" s="206"/>
    </row>
    <row r="809">
      <c r="C809" s="210"/>
      <c r="D809" s="206"/>
    </row>
    <row r="810">
      <c r="C810" s="210"/>
      <c r="D810" s="206"/>
    </row>
    <row r="811">
      <c r="C811" s="210"/>
      <c r="D811" s="206"/>
    </row>
    <row r="812">
      <c r="C812" s="210"/>
      <c r="D812" s="206"/>
    </row>
    <row r="813">
      <c r="C813" s="210"/>
      <c r="D813" s="206"/>
    </row>
    <row r="814">
      <c r="C814" s="210"/>
      <c r="D814" s="206"/>
    </row>
    <row r="815">
      <c r="C815" s="210"/>
      <c r="D815" s="206"/>
    </row>
    <row r="816">
      <c r="C816" s="210"/>
      <c r="D816" s="206"/>
    </row>
    <row r="817">
      <c r="C817" s="210"/>
      <c r="D817" s="206"/>
    </row>
    <row r="818">
      <c r="C818" s="210"/>
      <c r="D818" s="206"/>
    </row>
    <row r="819">
      <c r="C819" s="210"/>
      <c r="D819" s="206"/>
    </row>
    <row r="820">
      <c r="C820" s="210"/>
      <c r="D820" s="206"/>
    </row>
    <row r="821">
      <c r="C821" s="210"/>
      <c r="D821" s="206"/>
    </row>
    <row r="822">
      <c r="C822" s="210"/>
      <c r="D822" s="206"/>
    </row>
    <row r="823">
      <c r="C823" s="210"/>
      <c r="D823" s="206"/>
    </row>
    <row r="824">
      <c r="C824" s="210"/>
      <c r="D824" s="206"/>
    </row>
    <row r="825">
      <c r="C825" s="210"/>
      <c r="D825" s="206"/>
    </row>
    <row r="826">
      <c r="C826" s="210"/>
      <c r="D826" s="206"/>
    </row>
    <row r="827">
      <c r="C827" s="210"/>
      <c r="D827" s="206"/>
    </row>
    <row r="828">
      <c r="C828" s="210"/>
      <c r="D828" s="206"/>
    </row>
    <row r="829">
      <c r="C829" s="210"/>
      <c r="D829" s="206"/>
    </row>
    <row r="830">
      <c r="C830" s="210"/>
      <c r="D830" s="206"/>
    </row>
    <row r="831">
      <c r="C831" s="210"/>
      <c r="D831" s="206"/>
    </row>
    <row r="832">
      <c r="C832" s="210"/>
      <c r="D832" s="206"/>
    </row>
    <row r="833">
      <c r="C833" s="210"/>
      <c r="D833" s="206"/>
    </row>
    <row r="834">
      <c r="C834" s="210"/>
      <c r="D834" s="206"/>
    </row>
    <row r="835">
      <c r="C835" s="210"/>
      <c r="D835" s="206"/>
    </row>
    <row r="836">
      <c r="C836" s="210"/>
      <c r="D836" s="206"/>
    </row>
    <row r="837">
      <c r="C837" s="210"/>
      <c r="D837" s="206"/>
    </row>
    <row r="838">
      <c r="C838" s="210"/>
      <c r="D838" s="206"/>
    </row>
    <row r="839">
      <c r="C839" s="210"/>
      <c r="D839" s="206"/>
    </row>
    <row r="840">
      <c r="C840" s="210"/>
      <c r="D840" s="206"/>
    </row>
    <row r="841">
      <c r="C841" s="210"/>
      <c r="D841" s="206"/>
    </row>
    <row r="842">
      <c r="C842" s="210"/>
      <c r="D842" s="206"/>
    </row>
    <row r="843">
      <c r="C843" s="210"/>
      <c r="D843" s="206"/>
    </row>
    <row r="844">
      <c r="C844" s="210"/>
      <c r="D844" s="206"/>
    </row>
    <row r="845">
      <c r="C845" s="210"/>
      <c r="D845" s="206"/>
    </row>
    <row r="846">
      <c r="C846" s="210"/>
      <c r="D846" s="206"/>
    </row>
    <row r="847">
      <c r="C847" s="210"/>
      <c r="D847" s="206"/>
    </row>
    <row r="848">
      <c r="C848" s="210"/>
      <c r="D848" s="206"/>
    </row>
    <row r="849">
      <c r="C849" s="210"/>
      <c r="D849" s="206"/>
    </row>
    <row r="850">
      <c r="C850" s="210"/>
      <c r="D850" s="206"/>
    </row>
    <row r="851">
      <c r="C851" s="210"/>
      <c r="D851" s="206"/>
    </row>
    <row r="852">
      <c r="C852" s="210"/>
      <c r="D852" s="206"/>
    </row>
    <row r="853">
      <c r="C853" s="210"/>
      <c r="D853" s="206"/>
    </row>
    <row r="854">
      <c r="C854" s="210"/>
      <c r="D854" s="206"/>
    </row>
    <row r="855">
      <c r="C855" s="210"/>
      <c r="D855" s="206"/>
    </row>
    <row r="856">
      <c r="C856" s="210"/>
      <c r="D856" s="206"/>
    </row>
    <row r="857">
      <c r="C857" s="210"/>
      <c r="D857" s="206"/>
    </row>
    <row r="858">
      <c r="C858" s="210"/>
      <c r="D858" s="206"/>
    </row>
    <row r="859">
      <c r="C859" s="210"/>
      <c r="D859" s="206"/>
    </row>
    <row r="860">
      <c r="C860" s="210"/>
      <c r="D860" s="206"/>
    </row>
    <row r="861">
      <c r="C861" s="210"/>
      <c r="D861" s="206"/>
    </row>
    <row r="862">
      <c r="C862" s="210"/>
      <c r="D862" s="206"/>
    </row>
    <row r="863">
      <c r="C863" s="210"/>
      <c r="D863" s="206"/>
    </row>
    <row r="864">
      <c r="C864" s="210"/>
      <c r="D864" s="206"/>
    </row>
    <row r="865">
      <c r="C865" s="210"/>
      <c r="D865" s="206"/>
    </row>
    <row r="866">
      <c r="C866" s="210"/>
      <c r="D866" s="206"/>
    </row>
    <row r="867">
      <c r="C867" s="210"/>
      <c r="D867" s="206"/>
    </row>
    <row r="868">
      <c r="C868" s="210"/>
      <c r="D868" s="206"/>
    </row>
    <row r="869">
      <c r="C869" s="210"/>
      <c r="D869" s="206"/>
    </row>
    <row r="870">
      <c r="C870" s="210"/>
      <c r="D870" s="206"/>
    </row>
    <row r="871">
      <c r="C871" s="210"/>
      <c r="D871" s="206"/>
    </row>
    <row r="872">
      <c r="C872" s="210"/>
      <c r="D872" s="206"/>
    </row>
    <row r="873">
      <c r="C873" s="210"/>
      <c r="D873" s="206"/>
    </row>
    <row r="874">
      <c r="C874" s="210"/>
      <c r="D874" s="206"/>
    </row>
    <row r="875">
      <c r="C875" s="210"/>
      <c r="D875" s="206"/>
    </row>
    <row r="876">
      <c r="C876" s="210"/>
      <c r="D876" s="206"/>
    </row>
    <row r="877">
      <c r="C877" s="210"/>
      <c r="D877" s="206"/>
    </row>
    <row r="878">
      <c r="C878" s="210"/>
      <c r="D878" s="206"/>
    </row>
    <row r="879">
      <c r="C879" s="210"/>
      <c r="D879" s="206"/>
    </row>
    <row r="880">
      <c r="C880" s="210"/>
      <c r="D880" s="206"/>
    </row>
    <row r="881">
      <c r="C881" s="210"/>
      <c r="D881" s="206"/>
    </row>
    <row r="882">
      <c r="C882" s="210"/>
      <c r="D882" s="206"/>
    </row>
    <row r="883">
      <c r="C883" s="210"/>
      <c r="D883" s="206"/>
    </row>
    <row r="884">
      <c r="C884" s="210"/>
      <c r="D884" s="206"/>
    </row>
    <row r="885">
      <c r="C885" s="210"/>
      <c r="D885" s="206"/>
    </row>
    <row r="886">
      <c r="C886" s="210"/>
      <c r="D886" s="206"/>
    </row>
    <row r="887">
      <c r="C887" s="210"/>
      <c r="D887" s="206"/>
    </row>
    <row r="888">
      <c r="C888" s="210"/>
      <c r="D888" s="206"/>
    </row>
    <row r="889">
      <c r="C889" s="210"/>
      <c r="D889" s="206"/>
    </row>
    <row r="890">
      <c r="C890" s="210"/>
      <c r="D890" s="206"/>
    </row>
    <row r="891">
      <c r="C891" s="210"/>
      <c r="D891" s="206"/>
    </row>
    <row r="892">
      <c r="C892" s="210"/>
      <c r="D892" s="206"/>
    </row>
    <row r="893">
      <c r="C893" s="210"/>
      <c r="D893" s="206"/>
    </row>
    <row r="894">
      <c r="C894" s="210"/>
      <c r="D894" s="206"/>
    </row>
    <row r="895">
      <c r="C895" s="210"/>
      <c r="D895" s="206"/>
    </row>
    <row r="896">
      <c r="C896" s="210"/>
      <c r="D896" s="206"/>
    </row>
    <row r="897">
      <c r="C897" s="210"/>
      <c r="D897" s="206"/>
    </row>
    <row r="898">
      <c r="C898" s="210"/>
      <c r="D898" s="206"/>
    </row>
    <row r="899">
      <c r="C899" s="210"/>
      <c r="D899" s="206"/>
    </row>
    <row r="900">
      <c r="C900" s="210"/>
      <c r="D900" s="206"/>
    </row>
    <row r="901">
      <c r="C901" s="210"/>
      <c r="D901" s="206"/>
    </row>
    <row r="902">
      <c r="C902" s="210"/>
      <c r="D902" s="206"/>
    </row>
    <row r="903">
      <c r="C903" s="210"/>
      <c r="D903" s="206"/>
    </row>
    <row r="904">
      <c r="C904" s="210"/>
      <c r="D904" s="206"/>
    </row>
    <row r="905">
      <c r="C905" s="210"/>
      <c r="D905" s="206"/>
    </row>
    <row r="906">
      <c r="C906" s="210"/>
      <c r="D906" s="206"/>
    </row>
    <row r="907">
      <c r="C907" s="210"/>
      <c r="D907" s="206"/>
    </row>
    <row r="908">
      <c r="C908" s="210"/>
      <c r="D908" s="206"/>
    </row>
    <row r="909">
      <c r="C909" s="210"/>
      <c r="D909" s="206"/>
    </row>
    <row r="910">
      <c r="C910" s="210"/>
      <c r="D910" s="206"/>
    </row>
    <row r="911">
      <c r="C911" s="210"/>
      <c r="D911" s="206"/>
    </row>
    <row r="912">
      <c r="C912" s="210"/>
      <c r="D912" s="206"/>
    </row>
    <row r="913">
      <c r="C913" s="210"/>
      <c r="D913" s="206"/>
    </row>
    <row r="914">
      <c r="C914" s="210"/>
      <c r="D914" s="206"/>
    </row>
    <row r="915">
      <c r="C915" s="210"/>
      <c r="D915" s="206"/>
    </row>
    <row r="916">
      <c r="C916" s="210"/>
      <c r="D916" s="206"/>
    </row>
    <row r="917">
      <c r="C917" s="210"/>
      <c r="D917" s="206"/>
    </row>
    <row r="918">
      <c r="C918" s="210"/>
      <c r="D918" s="206"/>
    </row>
    <row r="919">
      <c r="C919" s="210"/>
      <c r="D919" s="206"/>
    </row>
    <row r="920">
      <c r="C920" s="210"/>
      <c r="D920" s="206"/>
    </row>
    <row r="921">
      <c r="C921" s="210"/>
      <c r="D921" s="206"/>
    </row>
    <row r="922">
      <c r="C922" s="210"/>
      <c r="D922" s="206"/>
    </row>
    <row r="923">
      <c r="C923" s="210"/>
      <c r="D923" s="206"/>
    </row>
    <row r="924">
      <c r="C924" s="210"/>
      <c r="D924" s="206"/>
    </row>
    <row r="925">
      <c r="C925" s="210"/>
      <c r="D925" s="206"/>
    </row>
    <row r="926">
      <c r="C926" s="210"/>
      <c r="D926" s="206"/>
    </row>
    <row r="927">
      <c r="C927" s="210"/>
      <c r="D927" s="206"/>
    </row>
    <row r="928">
      <c r="C928" s="210"/>
      <c r="D928" s="206"/>
    </row>
    <row r="929">
      <c r="C929" s="210"/>
      <c r="D929" s="206"/>
    </row>
    <row r="930">
      <c r="C930" s="210"/>
      <c r="D930" s="206"/>
    </row>
    <row r="931">
      <c r="C931" s="210"/>
      <c r="D931" s="206"/>
    </row>
    <row r="932">
      <c r="C932" s="210"/>
      <c r="D932" s="206"/>
    </row>
    <row r="933">
      <c r="C933" s="210"/>
      <c r="D933" s="206"/>
    </row>
    <row r="934">
      <c r="C934" s="210"/>
      <c r="D934" s="206"/>
    </row>
    <row r="935">
      <c r="C935" s="210"/>
      <c r="D935" s="206"/>
    </row>
    <row r="936">
      <c r="C936" s="210"/>
      <c r="D936" s="206"/>
    </row>
    <row r="937">
      <c r="C937" s="210"/>
      <c r="D937" s="206"/>
    </row>
    <row r="938">
      <c r="C938" s="210"/>
      <c r="D938" s="206"/>
    </row>
    <row r="939">
      <c r="C939" s="210"/>
      <c r="D939" s="206"/>
    </row>
    <row r="940">
      <c r="C940" s="210"/>
      <c r="D940" s="206"/>
    </row>
    <row r="941">
      <c r="C941" s="210"/>
      <c r="D941" s="206"/>
    </row>
    <row r="942">
      <c r="C942" s="210"/>
      <c r="D942" s="206"/>
    </row>
    <row r="943">
      <c r="C943" s="210"/>
      <c r="D943" s="206"/>
    </row>
    <row r="944">
      <c r="C944" s="210"/>
      <c r="D944" s="206"/>
    </row>
    <row r="945">
      <c r="C945" s="210"/>
      <c r="D945" s="206"/>
    </row>
    <row r="946">
      <c r="C946" s="210"/>
      <c r="D946" s="206"/>
    </row>
    <row r="947">
      <c r="C947" s="210"/>
      <c r="D947" s="206"/>
    </row>
    <row r="948">
      <c r="C948" s="210"/>
      <c r="D948" s="206"/>
    </row>
    <row r="949">
      <c r="C949" s="210"/>
      <c r="D949" s="206"/>
    </row>
    <row r="950">
      <c r="C950" s="210"/>
      <c r="D950" s="206"/>
    </row>
    <row r="951">
      <c r="C951" s="210"/>
      <c r="D951" s="206"/>
    </row>
    <row r="952">
      <c r="C952" s="210"/>
      <c r="D952" s="206"/>
    </row>
    <row r="953">
      <c r="C953" s="210"/>
      <c r="D953" s="206"/>
    </row>
    <row r="954">
      <c r="C954" s="210"/>
      <c r="D954" s="206"/>
    </row>
    <row r="955">
      <c r="C955" s="210"/>
      <c r="D955" s="206"/>
    </row>
    <row r="956">
      <c r="C956" s="210"/>
      <c r="D956" s="206"/>
    </row>
    <row r="957">
      <c r="C957" s="210"/>
      <c r="D957" s="206"/>
    </row>
    <row r="958">
      <c r="C958" s="210"/>
      <c r="D958" s="206"/>
    </row>
    <row r="959">
      <c r="C959" s="210"/>
      <c r="D959" s="206"/>
    </row>
    <row r="960">
      <c r="C960" s="210"/>
      <c r="D960" s="206"/>
    </row>
    <row r="961">
      <c r="C961" s="210"/>
      <c r="D961" s="206"/>
    </row>
    <row r="962">
      <c r="C962" s="210"/>
      <c r="D962" s="206"/>
    </row>
    <row r="963">
      <c r="C963" s="210"/>
      <c r="D963" s="206"/>
    </row>
    <row r="964">
      <c r="C964" s="210"/>
      <c r="D964" s="206"/>
    </row>
    <row r="965">
      <c r="C965" s="210"/>
      <c r="D965" s="206"/>
    </row>
    <row r="966">
      <c r="C966" s="210"/>
      <c r="D966" s="206"/>
    </row>
    <row r="967">
      <c r="C967" s="210"/>
      <c r="D967" s="206"/>
    </row>
    <row r="968">
      <c r="C968" s="210"/>
      <c r="D968" s="206"/>
    </row>
    <row r="969">
      <c r="C969" s="210"/>
      <c r="D969" s="206"/>
    </row>
    <row r="970">
      <c r="C970" s="210"/>
      <c r="D970" s="206"/>
    </row>
    <row r="971">
      <c r="C971" s="210"/>
      <c r="D971" s="206"/>
    </row>
    <row r="972">
      <c r="C972" s="210"/>
      <c r="D972" s="206"/>
    </row>
    <row r="973">
      <c r="C973" s="210"/>
      <c r="D973" s="206"/>
    </row>
    <row r="974">
      <c r="C974" s="210"/>
      <c r="D974" s="206"/>
    </row>
    <row r="975">
      <c r="C975" s="210"/>
      <c r="D975" s="206"/>
    </row>
    <row r="976">
      <c r="C976" s="210"/>
      <c r="D976" s="206"/>
    </row>
    <row r="977">
      <c r="C977" s="210"/>
      <c r="D977" s="206"/>
    </row>
    <row r="978">
      <c r="C978" s="210"/>
      <c r="D978" s="206"/>
    </row>
    <row r="979">
      <c r="C979" s="210"/>
      <c r="D979" s="206"/>
    </row>
    <row r="980">
      <c r="C980" s="210"/>
      <c r="D980" s="206"/>
    </row>
    <row r="981">
      <c r="C981" s="210"/>
      <c r="D981" s="206"/>
    </row>
    <row r="982">
      <c r="C982" s="210"/>
      <c r="D982" s="206"/>
    </row>
    <row r="983">
      <c r="C983" s="210"/>
      <c r="D983" s="206"/>
    </row>
    <row r="984">
      <c r="C984" s="210"/>
      <c r="D984" s="206"/>
    </row>
    <row r="985">
      <c r="C985" s="210"/>
      <c r="D985" s="206"/>
    </row>
    <row r="986">
      <c r="C986" s="210"/>
      <c r="D986" s="206"/>
    </row>
    <row r="987">
      <c r="C987" s="210"/>
      <c r="D987" s="206"/>
    </row>
    <row r="988">
      <c r="C988" s="210"/>
      <c r="D988" s="206"/>
    </row>
    <row r="989">
      <c r="C989" s="210"/>
      <c r="D989" s="206"/>
    </row>
    <row r="990">
      <c r="C990" s="210"/>
      <c r="D990" s="206"/>
    </row>
    <row r="991">
      <c r="C991" s="210"/>
      <c r="D991" s="206"/>
    </row>
    <row r="992">
      <c r="C992" s="210"/>
      <c r="D992" s="206"/>
    </row>
    <row r="993">
      <c r="C993" s="210"/>
      <c r="D993" s="206"/>
    </row>
    <row r="994">
      <c r="C994" s="210"/>
      <c r="D994" s="206"/>
    </row>
    <row r="995">
      <c r="C995" s="210"/>
      <c r="D995" s="206"/>
    </row>
    <row r="996">
      <c r="C996" s="210"/>
      <c r="D996" s="206"/>
    </row>
    <row r="997">
      <c r="C997" s="210"/>
      <c r="D997" s="206"/>
    </row>
    <row r="998">
      <c r="C998" s="210"/>
      <c r="D998" s="206"/>
    </row>
    <row r="999">
      <c r="C999" s="210"/>
      <c r="D999" s="206"/>
    </row>
    <row r="1000">
      <c r="C1000" s="210"/>
      <c r="D1000" s="206"/>
    </row>
  </sheetData>
  <dataValidations>
    <dataValidation type="list" allowBlank="1" showErrorMessage="1" sqref="E2:E36 C2:C1000">
      <formula1>"No,Si,Pendiente,Descartado"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</hyperlinks>
  <drawing r:id="rId3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2" max="3" width="26.75"/>
    <col customWidth="1" min="4" max="4" width="62.13"/>
    <col customWidth="1" min="5" max="6" width="14.88"/>
    <col customWidth="1" min="7" max="7" width="11.88"/>
    <col customWidth="1" min="8" max="8" width="20.88"/>
    <col customWidth="1" min="9" max="9" width="66.0"/>
  </cols>
  <sheetData>
    <row r="1" collapsed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/>
    </row>
    <row r="2" hidden="1" outlineLevel="1">
      <c r="A2" s="48" t="s">
        <v>9</v>
      </c>
      <c r="B2" s="48" t="s">
        <v>173</v>
      </c>
      <c r="C2" s="6" t="s">
        <v>10</v>
      </c>
      <c r="D2" s="34" t="s">
        <v>174</v>
      </c>
      <c r="E2" s="33" t="s">
        <v>175</v>
      </c>
      <c r="F2" s="34" t="s">
        <v>14</v>
      </c>
      <c r="G2" s="15"/>
      <c r="H2" s="211"/>
      <c r="I2" s="212"/>
    </row>
    <row r="3" hidden="1" outlineLevel="1">
      <c r="A3" s="108"/>
      <c r="B3" s="108"/>
      <c r="D3" s="34" t="s">
        <v>176</v>
      </c>
      <c r="E3" s="33" t="s">
        <v>177</v>
      </c>
      <c r="F3" s="34" t="s">
        <v>17</v>
      </c>
      <c r="G3" s="45" t="s">
        <v>42</v>
      </c>
      <c r="H3" s="211"/>
      <c r="I3" s="212"/>
    </row>
    <row r="4" hidden="1" outlineLevel="1">
      <c r="A4" s="108"/>
      <c r="B4" s="49"/>
      <c r="D4" s="45" t="s">
        <v>178</v>
      </c>
      <c r="E4" s="213" t="s">
        <v>179</v>
      </c>
      <c r="F4" s="214" t="s">
        <v>14</v>
      </c>
      <c r="G4" s="15"/>
      <c r="H4" s="215"/>
      <c r="I4" s="212"/>
    </row>
    <row r="5" hidden="1" outlineLevel="1">
      <c r="A5" s="108"/>
      <c r="B5" s="49"/>
      <c r="D5" s="45" t="s">
        <v>180</v>
      </c>
      <c r="E5" s="213" t="s">
        <v>181</v>
      </c>
      <c r="F5" s="214" t="s">
        <v>17</v>
      </c>
      <c r="G5" s="45" t="s">
        <v>42</v>
      </c>
      <c r="H5" s="215"/>
      <c r="I5" s="212"/>
    </row>
    <row r="6" hidden="1" outlineLevel="1">
      <c r="A6" s="108"/>
      <c r="B6" s="49"/>
      <c r="C6" s="16" t="s">
        <v>11</v>
      </c>
      <c r="D6" s="17"/>
      <c r="E6" s="216" t="s">
        <v>175</v>
      </c>
      <c r="F6" s="17"/>
      <c r="G6" s="168"/>
      <c r="H6" s="217"/>
      <c r="I6" s="212"/>
    </row>
    <row r="7" hidden="1" outlineLevel="1">
      <c r="A7" s="108"/>
      <c r="B7" s="49"/>
      <c r="D7" s="17"/>
      <c r="E7" s="216" t="s">
        <v>177</v>
      </c>
      <c r="F7" s="17"/>
      <c r="G7" s="168"/>
      <c r="H7" s="217"/>
      <c r="I7" s="212"/>
    </row>
    <row r="8" hidden="1" outlineLevel="1">
      <c r="A8" s="108"/>
      <c r="B8" s="49"/>
      <c r="D8" s="17"/>
      <c r="E8" s="216" t="s">
        <v>179</v>
      </c>
      <c r="F8" s="17"/>
      <c r="G8" s="168"/>
      <c r="H8" s="169"/>
      <c r="I8" s="212"/>
    </row>
    <row r="9" hidden="1" outlineLevel="1">
      <c r="A9" s="108"/>
      <c r="B9" s="49"/>
      <c r="D9" s="17"/>
      <c r="E9" s="216" t="s">
        <v>181</v>
      </c>
      <c r="F9" s="17"/>
      <c r="G9" s="168"/>
      <c r="H9" s="169"/>
      <c r="I9" s="212"/>
    </row>
    <row r="10" hidden="1" outlineLevel="1">
      <c r="A10" s="108"/>
      <c r="B10" s="49"/>
      <c r="C10" s="49"/>
      <c r="D10" s="49"/>
      <c r="E10" s="49"/>
      <c r="F10" s="49"/>
      <c r="G10" s="49"/>
      <c r="H10" s="218"/>
      <c r="I10" s="212"/>
    </row>
    <row r="11" hidden="1" outlineLevel="1">
      <c r="A11" s="219" t="s">
        <v>12</v>
      </c>
      <c r="B11" s="220"/>
      <c r="C11" s="220"/>
      <c r="D11" s="221"/>
      <c r="E11" s="221"/>
      <c r="F11" s="221"/>
      <c r="G11" s="221"/>
      <c r="H11" s="222"/>
      <c r="I11" s="212"/>
    </row>
    <row r="12" hidden="1" outlineLevel="1">
      <c r="A12" s="223"/>
      <c r="B12" s="49"/>
      <c r="C12" s="6" t="s">
        <v>10</v>
      </c>
      <c r="D12" s="7"/>
      <c r="E12" s="8" t="s">
        <v>182</v>
      </c>
      <c r="F12" s="7"/>
      <c r="G12" s="15" t="s">
        <v>183</v>
      </c>
      <c r="H12" s="211"/>
      <c r="I12" s="212"/>
    </row>
    <row r="13" hidden="1" outlineLevel="1">
      <c r="A13" s="223"/>
      <c r="B13" s="48"/>
      <c r="D13" s="7"/>
      <c r="E13" s="8" t="s">
        <v>184</v>
      </c>
      <c r="F13" s="7"/>
      <c r="G13" s="15" t="s">
        <v>183</v>
      </c>
      <c r="H13" s="211"/>
      <c r="I13" s="212"/>
    </row>
    <row r="14" hidden="1" outlineLevel="1">
      <c r="A14" s="224"/>
      <c r="B14" s="48"/>
      <c r="D14" s="15"/>
      <c r="E14" s="225" t="s">
        <v>185</v>
      </c>
      <c r="F14" s="226"/>
      <c r="G14" s="15" t="s">
        <v>183</v>
      </c>
      <c r="H14" s="215"/>
      <c r="I14" s="212"/>
    </row>
    <row r="15" hidden="1" outlineLevel="1">
      <c r="A15" s="224"/>
      <c r="B15" s="48"/>
      <c r="D15" s="15"/>
      <c r="E15" s="225" t="s">
        <v>185</v>
      </c>
      <c r="F15" s="226"/>
      <c r="G15" s="15" t="s">
        <v>42</v>
      </c>
      <c r="H15" s="215"/>
      <c r="I15" s="212"/>
    </row>
    <row r="16" hidden="1" outlineLevel="1">
      <c r="A16" s="223"/>
      <c r="B16" s="48"/>
      <c r="C16" s="16" t="s">
        <v>11</v>
      </c>
      <c r="D16" s="17"/>
      <c r="E16" s="18" t="s">
        <v>186</v>
      </c>
      <c r="F16" s="17"/>
      <c r="G16" s="168" t="s">
        <v>187</v>
      </c>
      <c r="H16" s="217"/>
      <c r="I16" s="212"/>
    </row>
    <row r="17" hidden="1" outlineLevel="1">
      <c r="A17" s="223"/>
      <c r="B17" s="48"/>
      <c r="D17" s="17"/>
      <c r="E17" s="18" t="s">
        <v>185</v>
      </c>
      <c r="F17" s="17"/>
      <c r="G17" s="168" t="s">
        <v>187</v>
      </c>
      <c r="H17" s="217"/>
      <c r="I17" s="212"/>
    </row>
    <row r="18" hidden="1" outlineLevel="1">
      <c r="A18" s="223"/>
      <c r="B18" s="48"/>
      <c r="D18" s="17"/>
      <c r="E18" s="18" t="s">
        <v>185</v>
      </c>
      <c r="F18" s="17"/>
      <c r="G18" s="168" t="s">
        <v>187</v>
      </c>
      <c r="H18" s="169"/>
      <c r="I18" s="212"/>
    </row>
    <row r="19" hidden="1" outlineLevel="1">
      <c r="A19" s="223"/>
      <c r="B19" s="48"/>
      <c r="D19" s="17"/>
      <c r="E19" s="18" t="s">
        <v>185</v>
      </c>
      <c r="F19" s="17"/>
      <c r="G19" s="168" t="s">
        <v>187</v>
      </c>
      <c r="H19" s="169"/>
      <c r="I19" s="212"/>
    </row>
    <row r="20" hidden="1" outlineLevel="1">
      <c r="A20" s="227"/>
      <c r="B20" s="89"/>
      <c r="C20" s="89"/>
      <c r="D20" s="89"/>
      <c r="E20" s="228"/>
      <c r="F20" s="228"/>
      <c r="G20" s="89"/>
      <c r="H20" s="229"/>
      <c r="I20" s="212"/>
    </row>
    <row r="21" hidden="1" outlineLevel="1">
      <c r="A21" s="230" t="s">
        <v>21</v>
      </c>
      <c r="B21" s="48"/>
      <c r="C21" s="48"/>
      <c r="D21" s="221"/>
      <c r="E21" s="231"/>
      <c r="F21" s="231"/>
      <c r="G21" s="221"/>
      <c r="H21" s="222"/>
      <c r="I21" s="212"/>
    </row>
    <row r="22" hidden="1" outlineLevel="1">
      <c r="A22" s="223"/>
      <c r="B22" s="49" t="s">
        <v>188</v>
      </c>
      <c r="C22" s="6" t="s">
        <v>10</v>
      </c>
      <c r="D22" s="7"/>
      <c r="E22" s="8" t="s">
        <v>182</v>
      </c>
      <c r="F22" s="7"/>
      <c r="G22" s="15" t="s">
        <v>183</v>
      </c>
      <c r="H22" s="211"/>
      <c r="I22" s="232"/>
    </row>
    <row r="23" ht="22.5" hidden="1" customHeight="1" outlineLevel="1">
      <c r="A23" s="223"/>
      <c r="B23" s="48"/>
      <c r="D23" s="7"/>
      <c r="E23" s="8" t="s">
        <v>184</v>
      </c>
      <c r="F23" s="7"/>
      <c r="G23" s="15" t="s">
        <v>183</v>
      </c>
      <c r="H23" s="211"/>
      <c r="I23" s="232"/>
    </row>
    <row r="24" hidden="1" outlineLevel="1">
      <c r="A24" s="233">
        <v>45370.0</v>
      </c>
      <c r="B24" s="48" t="s">
        <v>189</v>
      </c>
      <c r="D24" s="15"/>
      <c r="E24" s="225" t="s">
        <v>185</v>
      </c>
      <c r="F24" s="226"/>
      <c r="G24" s="15" t="s">
        <v>183</v>
      </c>
      <c r="H24" s="215"/>
      <c r="I24" s="232"/>
    </row>
    <row r="25" hidden="1" outlineLevel="1">
      <c r="A25" s="233">
        <v>45371.0</v>
      </c>
      <c r="B25" s="48" t="s">
        <v>190</v>
      </c>
      <c r="D25" s="15"/>
      <c r="E25" s="225" t="s">
        <v>185</v>
      </c>
      <c r="F25" s="226"/>
      <c r="G25" s="15" t="s">
        <v>42</v>
      </c>
      <c r="H25" s="215"/>
      <c r="I25" s="232"/>
    </row>
    <row r="26" hidden="1" outlineLevel="1">
      <c r="A26" s="223"/>
      <c r="B26" s="48"/>
      <c r="C26" s="16" t="s">
        <v>11</v>
      </c>
      <c r="D26" s="17"/>
      <c r="E26" s="18" t="s">
        <v>186</v>
      </c>
      <c r="F26" s="17"/>
      <c r="G26" s="168" t="s">
        <v>187</v>
      </c>
      <c r="H26" s="217"/>
      <c r="I26" s="212"/>
    </row>
    <row r="27" hidden="1" outlineLevel="1">
      <c r="A27" s="223"/>
      <c r="B27" s="48"/>
      <c r="D27" s="17"/>
      <c r="E27" s="18" t="s">
        <v>185</v>
      </c>
      <c r="F27" s="17"/>
      <c r="G27" s="168" t="s">
        <v>187</v>
      </c>
      <c r="H27" s="217"/>
      <c r="I27" s="212"/>
    </row>
    <row r="28" hidden="1" outlineLevel="1">
      <c r="A28" s="223"/>
      <c r="B28" s="48"/>
      <c r="D28" s="17"/>
      <c r="E28" s="18" t="s">
        <v>185</v>
      </c>
      <c r="F28" s="17"/>
      <c r="G28" s="168" t="s">
        <v>187</v>
      </c>
      <c r="H28" s="169"/>
      <c r="I28" s="212"/>
    </row>
    <row r="29" hidden="1" outlineLevel="1">
      <c r="A29" s="223"/>
      <c r="B29" s="48"/>
      <c r="D29" s="17"/>
      <c r="E29" s="18" t="s">
        <v>185</v>
      </c>
      <c r="F29" s="17"/>
      <c r="G29" s="168" t="s">
        <v>187</v>
      </c>
      <c r="H29" s="169"/>
      <c r="I29" s="212"/>
    </row>
    <row r="30" hidden="1" outlineLevel="1">
      <c r="A30" s="86"/>
      <c r="B30" s="87"/>
      <c r="C30" s="87"/>
      <c r="D30" s="89"/>
      <c r="E30" s="89"/>
      <c r="F30" s="89"/>
      <c r="G30" s="89"/>
      <c r="H30" s="234"/>
      <c r="I30" s="212"/>
    </row>
    <row r="31" hidden="1" outlineLevel="1">
      <c r="A31" s="48" t="s">
        <v>80</v>
      </c>
      <c r="B31" s="108"/>
      <c r="C31" s="108"/>
      <c r="D31" s="49"/>
      <c r="E31" s="49"/>
      <c r="F31" s="49"/>
      <c r="G31" s="49"/>
      <c r="H31" s="218"/>
      <c r="I31" s="212"/>
    </row>
    <row r="32" hidden="1" outlineLevel="1">
      <c r="A32" s="49"/>
      <c r="B32" s="49"/>
      <c r="C32" s="6" t="s">
        <v>10</v>
      </c>
      <c r="D32" s="7"/>
      <c r="E32" s="8" t="s">
        <v>182</v>
      </c>
      <c r="F32" s="7"/>
      <c r="G32" s="15" t="s">
        <v>183</v>
      </c>
      <c r="H32" s="211"/>
      <c r="I32" s="212"/>
    </row>
    <row r="33" hidden="1" outlineLevel="1">
      <c r="A33" s="48"/>
      <c r="B33" s="48"/>
      <c r="D33" s="7"/>
      <c r="E33" s="8" t="s">
        <v>184</v>
      </c>
      <c r="F33" s="7"/>
      <c r="G33" s="15" t="s">
        <v>183</v>
      </c>
      <c r="H33" s="211"/>
      <c r="I33" s="232"/>
    </row>
    <row r="34" hidden="1" outlineLevel="1">
      <c r="A34" s="235"/>
      <c r="B34" s="235"/>
      <c r="D34" s="15"/>
      <c r="E34" s="225" t="s">
        <v>185</v>
      </c>
      <c r="F34" s="226"/>
      <c r="G34" s="15" t="s">
        <v>183</v>
      </c>
      <c r="H34" s="215"/>
      <c r="I34" s="236"/>
    </row>
    <row r="35" hidden="1" outlineLevel="1">
      <c r="A35" s="237"/>
      <c r="B35" s="237"/>
      <c r="D35" s="15"/>
      <c r="E35" s="225" t="s">
        <v>185</v>
      </c>
      <c r="F35" s="226"/>
      <c r="G35" s="15" t="s">
        <v>42</v>
      </c>
      <c r="H35" s="215"/>
      <c r="I35" s="238" t="s">
        <v>316</v>
      </c>
    </row>
    <row r="36" hidden="1" outlineLevel="1">
      <c r="A36" s="223"/>
      <c r="B36" s="48"/>
      <c r="C36" s="16" t="s">
        <v>11</v>
      </c>
      <c r="D36" s="17"/>
      <c r="E36" s="18" t="s">
        <v>186</v>
      </c>
      <c r="F36" s="17"/>
      <c r="G36" s="168" t="s">
        <v>187</v>
      </c>
      <c r="H36" s="217"/>
      <c r="I36" s="212"/>
      <c r="J36" s="239"/>
      <c r="K36" s="240"/>
      <c r="L36" s="241"/>
      <c r="M36" s="242"/>
      <c r="N36" s="204"/>
    </row>
    <row r="37" hidden="1" outlineLevel="1">
      <c r="A37" s="223"/>
      <c r="B37" s="48"/>
      <c r="D37" s="17"/>
      <c r="E37" s="18" t="s">
        <v>185</v>
      </c>
      <c r="F37" s="17"/>
      <c r="G37" s="168" t="s">
        <v>187</v>
      </c>
      <c r="H37" s="217"/>
      <c r="I37" s="212"/>
      <c r="J37" s="239"/>
      <c r="K37" s="240"/>
      <c r="L37" s="241"/>
      <c r="M37" s="243"/>
      <c r="N37" s="204"/>
    </row>
    <row r="38" hidden="1" outlineLevel="1">
      <c r="A38" s="223"/>
      <c r="B38" s="48"/>
      <c r="D38" s="17"/>
      <c r="E38" s="18" t="s">
        <v>185</v>
      </c>
      <c r="F38" s="17"/>
      <c r="G38" s="168" t="s">
        <v>187</v>
      </c>
      <c r="H38" s="169"/>
      <c r="I38" s="212"/>
      <c r="J38" s="239"/>
      <c r="K38" s="240"/>
      <c r="L38" s="241"/>
      <c r="M38" s="244"/>
      <c r="N38" s="204"/>
    </row>
    <row r="39" hidden="1" outlineLevel="1">
      <c r="A39" s="223"/>
      <c r="B39" s="48"/>
      <c r="D39" s="17"/>
      <c r="E39" s="18" t="s">
        <v>185</v>
      </c>
      <c r="F39" s="17"/>
      <c r="G39" s="168" t="s">
        <v>187</v>
      </c>
      <c r="H39" s="169"/>
      <c r="I39" s="212"/>
      <c r="K39" s="240"/>
      <c r="L39" s="241"/>
      <c r="M39" s="245"/>
      <c r="N39" s="204"/>
    </row>
    <row r="40" collapsed="1">
      <c r="A40" s="86"/>
      <c r="B40" s="87"/>
      <c r="C40" s="87"/>
      <c r="D40" s="89"/>
      <c r="E40" s="89"/>
      <c r="F40" s="89"/>
      <c r="G40" s="89"/>
      <c r="H40" s="87"/>
      <c r="I40" s="52"/>
    </row>
    <row r="41" hidden="1" outlineLevel="1">
      <c r="A41" s="48" t="s">
        <v>30</v>
      </c>
      <c r="B41" s="49"/>
      <c r="C41" s="49"/>
      <c r="D41" s="49"/>
      <c r="E41" s="49"/>
      <c r="F41" s="49"/>
      <c r="G41" s="49"/>
      <c r="H41" s="49"/>
      <c r="I41" s="52"/>
    </row>
    <row r="42" hidden="1" outlineLevel="1">
      <c r="A42" s="48"/>
      <c r="B42" s="53"/>
      <c r="C42" s="54" t="s">
        <v>10</v>
      </c>
      <c r="D42" s="55"/>
      <c r="E42" s="56" t="s">
        <v>317</v>
      </c>
      <c r="F42" s="56"/>
      <c r="G42" s="61"/>
      <c r="H42" s="58"/>
      <c r="I42" s="52"/>
    </row>
    <row r="43" ht="33.0" hidden="1" customHeight="1" outlineLevel="1">
      <c r="A43" s="48"/>
      <c r="B43" s="53"/>
      <c r="D43" s="59"/>
      <c r="E43" s="56" t="s">
        <v>318</v>
      </c>
      <c r="F43" s="56"/>
      <c r="G43" s="61"/>
      <c r="H43" s="58"/>
      <c r="I43" s="60"/>
    </row>
    <row r="44" hidden="1" outlineLevel="1">
      <c r="A44" s="53"/>
      <c r="B44" s="53"/>
      <c r="D44" s="61"/>
      <c r="E44" s="56" t="s">
        <v>319</v>
      </c>
      <c r="F44" s="56"/>
      <c r="G44" s="61"/>
      <c r="H44" s="58"/>
      <c r="I44" s="52"/>
    </row>
    <row r="45" hidden="1" outlineLevel="1">
      <c r="A45" s="49"/>
      <c r="B45" s="49"/>
      <c r="D45" s="61"/>
      <c r="E45" s="56" t="s">
        <v>320</v>
      </c>
      <c r="F45" s="56"/>
      <c r="G45" s="61"/>
      <c r="H45" s="58"/>
      <c r="I45" s="52"/>
    </row>
    <row r="46" hidden="1" outlineLevel="1">
      <c r="A46" s="48"/>
      <c r="B46" s="48"/>
      <c r="D46" s="62"/>
      <c r="E46" s="63" t="s">
        <v>321</v>
      </c>
      <c r="F46" s="63"/>
      <c r="G46" s="61"/>
      <c r="H46" s="58"/>
      <c r="I46" s="60"/>
    </row>
    <row r="47" hidden="1" outlineLevel="1">
      <c r="A47" s="48"/>
      <c r="B47" s="48"/>
      <c r="C47" s="65" t="s">
        <v>11</v>
      </c>
      <c r="D47" s="66"/>
      <c r="E47" s="67" t="s">
        <v>317</v>
      </c>
      <c r="F47" s="67"/>
      <c r="G47" s="76"/>
      <c r="H47" s="70"/>
      <c r="I47" s="52"/>
    </row>
    <row r="48" hidden="1" outlineLevel="1">
      <c r="A48" s="48"/>
      <c r="B48" s="48"/>
      <c r="D48" s="71"/>
      <c r="E48" s="72" t="s">
        <v>320</v>
      </c>
      <c r="F48" s="72"/>
      <c r="G48" s="76"/>
      <c r="H48" s="70"/>
      <c r="I48" s="52"/>
    </row>
    <row r="49" hidden="1" outlineLevel="1">
      <c r="A49" s="49"/>
      <c r="B49" s="49"/>
      <c r="D49" s="70"/>
      <c r="E49" s="74" t="s">
        <v>320</v>
      </c>
      <c r="F49" s="74"/>
      <c r="G49" s="76"/>
      <c r="H49" s="70"/>
      <c r="I49" s="52"/>
    </row>
    <row r="50" hidden="1" outlineLevel="1">
      <c r="A50" s="49"/>
      <c r="B50" s="49"/>
      <c r="D50" s="70"/>
      <c r="E50" s="74" t="s">
        <v>321</v>
      </c>
      <c r="F50" s="74"/>
      <c r="G50" s="76"/>
      <c r="H50" s="70"/>
      <c r="I50" s="75"/>
    </row>
    <row r="51" hidden="1" outlineLevel="1">
      <c r="A51" s="49"/>
      <c r="B51" s="49"/>
      <c r="D51" s="76"/>
      <c r="E51" s="74" t="s">
        <v>321</v>
      </c>
      <c r="F51" s="74"/>
      <c r="G51" s="76"/>
      <c r="H51" s="70"/>
      <c r="I51" s="75"/>
    </row>
    <row r="52" hidden="1" outlineLevel="1">
      <c r="A52" s="49"/>
      <c r="B52" s="49"/>
      <c r="C52" s="77" t="s">
        <v>78</v>
      </c>
      <c r="D52" s="78"/>
      <c r="E52" s="79" t="s">
        <v>317</v>
      </c>
      <c r="F52" s="79"/>
      <c r="G52" s="82"/>
      <c r="H52" s="82"/>
      <c r="I52" s="52"/>
    </row>
    <row r="53" hidden="1" outlineLevel="1">
      <c r="A53" s="48"/>
      <c r="B53" s="48"/>
      <c r="D53" s="82"/>
      <c r="E53" s="79" t="s">
        <v>318</v>
      </c>
      <c r="F53" s="79"/>
      <c r="G53" s="82"/>
      <c r="H53" s="82"/>
      <c r="I53" s="52"/>
    </row>
    <row r="54" hidden="1" outlineLevel="1">
      <c r="A54" s="48"/>
      <c r="B54" s="48"/>
      <c r="D54" s="83"/>
      <c r="E54" s="79" t="s">
        <v>319</v>
      </c>
      <c r="F54" s="79"/>
      <c r="G54" s="82"/>
      <c r="H54" s="82"/>
      <c r="I54" s="52"/>
    </row>
    <row r="55" hidden="1" outlineLevel="1">
      <c r="A55" s="49"/>
      <c r="B55" s="49"/>
      <c r="D55" s="83"/>
      <c r="E55" s="79" t="s">
        <v>320</v>
      </c>
      <c r="F55" s="79"/>
      <c r="G55" s="82"/>
      <c r="H55" s="82"/>
      <c r="I55" s="52"/>
    </row>
    <row r="56" hidden="1" outlineLevel="1">
      <c r="A56" s="49"/>
      <c r="B56" s="49"/>
      <c r="D56" s="83"/>
      <c r="E56" s="84" t="s">
        <v>321</v>
      </c>
      <c r="F56" s="84"/>
      <c r="G56" s="82"/>
      <c r="H56" s="82"/>
      <c r="I56" s="52"/>
    </row>
    <row r="57" hidden="1" outlineLevel="1">
      <c r="A57" s="86"/>
      <c r="B57" s="87"/>
      <c r="C57" s="87"/>
      <c r="D57" s="89"/>
      <c r="E57" s="89"/>
      <c r="F57" s="89"/>
      <c r="G57" s="89"/>
      <c r="H57" s="87"/>
      <c r="I57" s="52"/>
    </row>
    <row r="58" hidden="1" outlineLevel="1">
      <c r="A58" s="92" t="s">
        <v>39</v>
      </c>
      <c r="B58" s="92"/>
      <c r="C58" s="92"/>
      <c r="D58" s="92"/>
      <c r="E58" s="92"/>
      <c r="F58" s="92"/>
      <c r="G58" s="92"/>
      <c r="H58" s="92"/>
      <c r="I58" s="52"/>
    </row>
    <row r="59" hidden="1" outlineLevel="1">
      <c r="A59" s="95"/>
      <c r="B59" s="92"/>
      <c r="C59" s="54" t="s">
        <v>10</v>
      </c>
      <c r="D59" s="55"/>
      <c r="E59" s="56" t="s">
        <v>322</v>
      </c>
      <c r="F59" s="56"/>
      <c r="G59" s="61"/>
      <c r="H59" s="58"/>
      <c r="I59" s="52"/>
    </row>
    <row r="60" hidden="1" outlineLevel="1">
      <c r="A60" s="92"/>
      <c r="B60" s="53"/>
      <c r="D60" s="246"/>
      <c r="E60" s="56" t="s">
        <v>323</v>
      </c>
      <c r="F60" s="56"/>
      <c r="G60" s="61"/>
      <c r="H60" s="58"/>
      <c r="I60" s="75"/>
    </row>
    <row r="61" hidden="1" outlineLevel="1">
      <c r="A61" s="92"/>
      <c r="B61" s="53"/>
      <c r="D61" s="61"/>
      <c r="E61" s="56" t="s">
        <v>324</v>
      </c>
      <c r="F61" s="56"/>
      <c r="G61" s="61"/>
      <c r="H61" s="58"/>
      <c r="I61" s="52"/>
    </row>
    <row r="62" hidden="1" outlineLevel="1">
      <c r="A62" s="97"/>
      <c r="B62" s="53"/>
      <c r="D62" s="61"/>
      <c r="E62" s="56" t="s">
        <v>325</v>
      </c>
      <c r="F62" s="56"/>
      <c r="G62" s="61"/>
      <c r="H62" s="58"/>
      <c r="I62" s="75"/>
    </row>
    <row r="63" hidden="1" outlineLevel="1">
      <c r="A63" s="97"/>
      <c r="B63" s="53"/>
      <c r="C63" s="247" t="s">
        <v>326</v>
      </c>
      <c r="D63" s="248"/>
      <c r="E63" s="249" t="s">
        <v>322</v>
      </c>
      <c r="F63" s="249"/>
      <c r="G63" s="250"/>
      <c r="H63" s="251"/>
      <c r="I63" s="75"/>
    </row>
    <row r="64" hidden="1" outlineLevel="1">
      <c r="A64" s="97"/>
      <c r="B64" s="53"/>
      <c r="D64" s="248"/>
      <c r="E64" s="249" t="s">
        <v>323</v>
      </c>
      <c r="F64" s="249"/>
      <c r="G64" s="250"/>
      <c r="H64" s="251"/>
      <c r="I64" s="75"/>
    </row>
    <row r="65" hidden="1" outlineLevel="1">
      <c r="A65" s="97"/>
      <c r="B65" s="53"/>
      <c r="D65" s="248"/>
      <c r="E65" s="249" t="s">
        <v>324</v>
      </c>
      <c r="F65" s="249"/>
      <c r="G65" s="250"/>
      <c r="H65" s="251"/>
      <c r="I65" s="52"/>
    </row>
    <row r="66" hidden="1" outlineLevel="1">
      <c r="A66" s="97"/>
      <c r="B66" s="53"/>
      <c r="D66" s="248"/>
      <c r="E66" s="249" t="s">
        <v>325</v>
      </c>
      <c r="F66" s="249"/>
      <c r="G66" s="250"/>
      <c r="H66" s="251"/>
      <c r="I66" s="52"/>
    </row>
    <row r="67" hidden="1" outlineLevel="1">
      <c r="A67" s="97"/>
      <c r="B67" s="53"/>
      <c r="C67" s="113" t="s">
        <v>327</v>
      </c>
      <c r="D67" s="100"/>
      <c r="E67" s="67" t="s">
        <v>322</v>
      </c>
      <c r="F67" s="67"/>
      <c r="G67" s="76"/>
      <c r="H67" s="70"/>
      <c r="I67" s="52"/>
    </row>
    <row r="68" hidden="1" outlineLevel="1">
      <c r="A68" s="97"/>
      <c r="B68" s="53"/>
      <c r="D68" s="72"/>
      <c r="E68" s="67" t="s">
        <v>322</v>
      </c>
      <c r="F68" s="67"/>
      <c r="G68" s="76"/>
      <c r="H68" s="70"/>
      <c r="I68" s="52"/>
    </row>
    <row r="69" hidden="1" outlineLevel="1">
      <c r="A69" s="97"/>
      <c r="B69" s="53"/>
      <c r="D69" s="76"/>
      <c r="E69" s="67" t="s">
        <v>322</v>
      </c>
      <c r="F69" s="67"/>
      <c r="G69" s="76"/>
      <c r="H69" s="70"/>
      <c r="I69" s="52"/>
    </row>
    <row r="70" hidden="1" outlineLevel="1">
      <c r="A70" s="97"/>
      <c r="B70" s="53"/>
      <c r="D70" s="76"/>
      <c r="E70" s="74" t="s">
        <v>324</v>
      </c>
      <c r="F70" s="74"/>
      <c r="G70" s="76"/>
      <c r="H70" s="70"/>
      <c r="I70" s="52"/>
    </row>
    <row r="71" hidden="1" outlineLevel="1">
      <c r="A71" s="97"/>
      <c r="B71" s="53"/>
      <c r="D71" s="76"/>
      <c r="E71" s="74" t="s">
        <v>324</v>
      </c>
      <c r="F71" s="74"/>
      <c r="G71" s="76"/>
      <c r="H71" s="70"/>
      <c r="I71" s="52"/>
    </row>
    <row r="72" hidden="1" outlineLevel="1">
      <c r="A72" s="97"/>
      <c r="B72" s="53"/>
      <c r="C72" s="77" t="s">
        <v>78</v>
      </c>
      <c r="D72" s="78"/>
      <c r="E72" s="79" t="s">
        <v>322</v>
      </c>
      <c r="F72" s="79"/>
      <c r="G72" s="82"/>
      <c r="H72" s="82"/>
      <c r="I72" s="52"/>
    </row>
    <row r="73" hidden="1" outlineLevel="1">
      <c r="A73" s="97"/>
      <c r="B73" s="53"/>
      <c r="D73" s="82"/>
      <c r="E73" s="79" t="s">
        <v>323</v>
      </c>
      <c r="F73" s="79"/>
      <c r="G73" s="82"/>
      <c r="H73" s="82"/>
      <c r="I73" s="52"/>
    </row>
    <row r="74" hidden="1" outlineLevel="1">
      <c r="A74" s="97"/>
      <c r="B74" s="53"/>
      <c r="D74" s="83"/>
      <c r="E74" s="79" t="s">
        <v>324</v>
      </c>
      <c r="F74" s="79"/>
      <c r="G74" s="82"/>
      <c r="H74" s="82"/>
      <c r="I74" s="52"/>
    </row>
    <row r="75" hidden="1" outlineLevel="1">
      <c r="A75" s="97"/>
      <c r="B75" s="53"/>
      <c r="D75" s="83"/>
      <c r="E75" s="79" t="s">
        <v>325</v>
      </c>
      <c r="F75" s="79"/>
      <c r="G75" s="82"/>
      <c r="H75" s="82"/>
      <c r="I75" s="52"/>
    </row>
    <row r="76" hidden="1" outlineLevel="1">
      <c r="A76" s="97"/>
      <c r="B76" s="53"/>
      <c r="C76" s="252" t="s">
        <v>328</v>
      </c>
      <c r="D76" s="252"/>
      <c r="E76" s="253"/>
      <c r="F76" s="253"/>
      <c r="G76" s="253"/>
      <c r="H76" s="254"/>
      <c r="I76" s="52"/>
    </row>
    <row r="77" hidden="1" outlineLevel="1">
      <c r="A77" s="97"/>
      <c r="B77" s="53"/>
      <c r="D77" s="255"/>
      <c r="E77" s="255"/>
      <c r="F77" s="255"/>
      <c r="G77" s="255"/>
      <c r="H77" s="255"/>
      <c r="I77" s="52"/>
    </row>
    <row r="78" hidden="1" outlineLevel="1">
      <c r="A78" s="97"/>
      <c r="B78" s="53"/>
      <c r="D78" s="253"/>
      <c r="E78" s="255"/>
      <c r="F78" s="255"/>
      <c r="G78" s="255"/>
      <c r="H78" s="253"/>
      <c r="I78" s="52"/>
    </row>
    <row r="79" collapsed="1">
      <c r="A79" s="86"/>
      <c r="B79" s="87"/>
      <c r="C79" s="87"/>
      <c r="D79" s="89"/>
      <c r="E79" s="89"/>
      <c r="F79" s="89"/>
      <c r="G79" s="89"/>
      <c r="H79" s="87"/>
      <c r="I79" s="52"/>
    </row>
    <row r="80" hidden="1" outlineLevel="1">
      <c r="A80" s="92" t="s">
        <v>57</v>
      </c>
      <c r="B80" s="92"/>
      <c r="C80" s="92"/>
      <c r="D80" s="92"/>
      <c r="E80" s="92"/>
      <c r="F80" s="92"/>
      <c r="G80" s="92"/>
      <c r="H80" s="92"/>
      <c r="I80" s="52"/>
    </row>
    <row r="81" ht="19.5" hidden="1" customHeight="1" outlineLevel="1">
      <c r="A81" s="95"/>
      <c r="B81" s="92"/>
      <c r="C81" s="54" t="s">
        <v>10</v>
      </c>
      <c r="D81" s="55"/>
      <c r="E81" s="56" t="s">
        <v>59</v>
      </c>
      <c r="F81" s="56"/>
      <c r="G81" s="61"/>
      <c r="H81" s="58"/>
      <c r="I81" s="52"/>
    </row>
    <row r="82" hidden="1" outlineLevel="1">
      <c r="A82" s="97"/>
      <c r="B82" s="53"/>
      <c r="D82" s="59"/>
      <c r="E82" s="56" t="s">
        <v>329</v>
      </c>
      <c r="F82" s="56"/>
      <c r="G82" s="61"/>
      <c r="H82" s="58"/>
      <c r="I82" s="52"/>
    </row>
    <row r="83" hidden="1" outlineLevel="1">
      <c r="A83" s="97"/>
      <c r="B83" s="53"/>
      <c r="D83" s="61"/>
      <c r="E83" s="56" t="s">
        <v>330</v>
      </c>
      <c r="F83" s="56"/>
      <c r="G83" s="61"/>
      <c r="H83" s="58"/>
      <c r="I83" s="52"/>
    </row>
    <row r="84" hidden="1" outlineLevel="1">
      <c r="A84" s="97"/>
      <c r="B84" s="53"/>
      <c r="D84" s="61"/>
      <c r="E84" s="56" t="s">
        <v>331</v>
      </c>
      <c r="F84" s="56"/>
      <c r="G84" s="61"/>
      <c r="H84" s="58"/>
      <c r="I84" s="52"/>
    </row>
    <row r="85" hidden="1" outlineLevel="1">
      <c r="A85" s="97"/>
      <c r="B85" s="53"/>
      <c r="D85" s="62"/>
      <c r="E85" s="63" t="s">
        <v>321</v>
      </c>
      <c r="F85" s="63"/>
      <c r="G85" s="61"/>
      <c r="H85" s="58"/>
      <c r="I85" s="60"/>
    </row>
    <row r="86" hidden="1" outlineLevel="1">
      <c r="A86" s="97"/>
      <c r="B86" s="53"/>
      <c r="C86" s="65" t="s">
        <v>11</v>
      </c>
      <c r="D86" s="66"/>
      <c r="E86" s="67"/>
      <c r="F86" s="67"/>
      <c r="G86" s="76"/>
      <c r="H86" s="70"/>
      <c r="I86" s="52"/>
    </row>
    <row r="87" hidden="1" outlineLevel="1">
      <c r="A87" s="97"/>
      <c r="B87" s="53"/>
      <c r="D87" s="72"/>
      <c r="E87" s="72"/>
      <c r="F87" s="72"/>
      <c r="G87" s="76"/>
      <c r="H87" s="70"/>
      <c r="I87" s="52"/>
    </row>
    <row r="88" hidden="1" outlineLevel="1">
      <c r="A88" s="97"/>
      <c r="B88" s="53"/>
      <c r="D88" s="70"/>
      <c r="E88" s="74"/>
      <c r="F88" s="74"/>
      <c r="G88" s="76"/>
      <c r="H88" s="70"/>
      <c r="I88" s="52"/>
    </row>
    <row r="89" hidden="1" outlineLevel="1">
      <c r="A89" s="97"/>
      <c r="B89" s="53"/>
      <c r="C89" s="77" t="s">
        <v>78</v>
      </c>
      <c r="D89" s="78"/>
      <c r="E89" s="79" t="s">
        <v>59</v>
      </c>
      <c r="F89" s="79"/>
      <c r="G89" s="82"/>
      <c r="H89" s="82"/>
      <c r="I89" s="52"/>
    </row>
    <row r="90" hidden="1" outlineLevel="1">
      <c r="A90" s="97"/>
      <c r="B90" s="53"/>
      <c r="D90" s="82"/>
      <c r="E90" s="79" t="s">
        <v>329</v>
      </c>
      <c r="F90" s="79"/>
      <c r="G90" s="82"/>
      <c r="H90" s="82"/>
      <c r="I90" s="52"/>
    </row>
    <row r="91" hidden="1" outlineLevel="1">
      <c r="A91" s="97"/>
      <c r="B91" s="53"/>
      <c r="D91" s="83"/>
      <c r="E91" s="79" t="s">
        <v>330</v>
      </c>
      <c r="F91" s="79"/>
      <c r="G91" s="82"/>
      <c r="H91" s="82"/>
      <c r="I91" s="52"/>
    </row>
    <row r="92" hidden="1" outlineLevel="1">
      <c r="A92" s="97"/>
      <c r="B92" s="53"/>
      <c r="D92" s="83"/>
      <c r="E92" s="79" t="s">
        <v>331</v>
      </c>
      <c r="F92" s="79"/>
      <c r="G92" s="82"/>
      <c r="H92" s="82"/>
      <c r="I92" s="52"/>
    </row>
    <row r="93" hidden="1" outlineLevel="1">
      <c r="A93" s="97"/>
      <c r="B93" s="53"/>
      <c r="D93" s="83"/>
      <c r="E93" s="79" t="s">
        <v>332</v>
      </c>
      <c r="F93" s="79"/>
      <c r="G93" s="82"/>
      <c r="H93" s="82"/>
      <c r="I93" s="52"/>
    </row>
    <row r="94" hidden="1" outlineLevel="1">
      <c r="A94" s="97"/>
      <c r="B94" s="53"/>
      <c r="C94" s="53"/>
      <c r="D94" s="53"/>
      <c r="E94" s="53"/>
      <c r="F94" s="53"/>
      <c r="G94" s="53"/>
      <c r="H94" s="53"/>
      <c r="I94" s="52"/>
    </row>
    <row r="95" hidden="1" outlineLevel="1">
      <c r="A95" s="97"/>
      <c r="B95" s="53"/>
      <c r="C95" s="53"/>
      <c r="D95" s="53"/>
      <c r="E95" s="53"/>
      <c r="F95" s="53"/>
      <c r="G95" s="53"/>
      <c r="H95" s="53"/>
      <c r="I95" s="52"/>
    </row>
    <row r="96" hidden="1" outlineLevel="1">
      <c r="A96" s="97"/>
      <c r="B96" s="53"/>
      <c r="C96" s="53"/>
      <c r="D96" s="53"/>
      <c r="E96" s="53"/>
      <c r="F96" s="53"/>
      <c r="G96" s="53"/>
      <c r="H96" s="53"/>
      <c r="I96" s="52"/>
    </row>
    <row r="97" hidden="1" outlineLevel="1">
      <c r="A97" s="86"/>
      <c r="B97" s="87"/>
      <c r="C97" s="87"/>
      <c r="D97" s="89"/>
      <c r="E97" s="89"/>
      <c r="F97" s="89"/>
      <c r="G97" s="89"/>
      <c r="H97" s="87"/>
      <c r="I97" s="52"/>
    </row>
    <row r="98" hidden="1" outlineLevel="1">
      <c r="A98" s="92" t="s">
        <v>68</v>
      </c>
      <c r="B98" s="92"/>
      <c r="C98" s="92"/>
      <c r="D98" s="92"/>
      <c r="E98" s="92"/>
      <c r="F98" s="92"/>
      <c r="G98" s="92"/>
      <c r="H98" s="92"/>
      <c r="I98" s="52"/>
    </row>
    <row r="99" hidden="1" outlineLevel="1">
      <c r="A99" s="95"/>
      <c r="B99" s="92"/>
      <c r="C99" s="54" t="s">
        <v>10</v>
      </c>
      <c r="D99" s="55"/>
      <c r="E99" s="56" t="s">
        <v>332</v>
      </c>
      <c r="F99" s="56"/>
      <c r="G99" s="61"/>
      <c r="H99" s="58"/>
      <c r="I99" s="52"/>
    </row>
    <row r="100" ht="18.75" hidden="1" customHeight="1" outlineLevel="1">
      <c r="A100" s="97"/>
      <c r="B100" s="53"/>
      <c r="D100" s="55"/>
      <c r="E100" s="56" t="s">
        <v>70</v>
      </c>
      <c r="F100" s="56"/>
      <c r="G100" s="61"/>
      <c r="H100" s="58"/>
      <c r="I100" s="75"/>
    </row>
    <row r="101" ht="42.0" hidden="1" customHeight="1" outlineLevel="1">
      <c r="A101" s="97"/>
      <c r="B101" s="53"/>
      <c r="D101" s="59"/>
      <c r="E101" s="56" t="s">
        <v>72</v>
      </c>
      <c r="F101" s="56"/>
      <c r="G101" s="61"/>
      <c r="H101" s="58"/>
      <c r="I101" s="102"/>
    </row>
    <row r="102" hidden="1" outlineLevel="1">
      <c r="A102" s="97"/>
      <c r="B102" s="53"/>
      <c r="D102" s="61"/>
      <c r="E102" s="56" t="s">
        <v>75</v>
      </c>
      <c r="F102" s="56"/>
      <c r="G102" s="61"/>
      <c r="H102" s="58"/>
      <c r="I102" s="52"/>
    </row>
    <row r="103" hidden="1" outlineLevel="1">
      <c r="A103" s="97"/>
      <c r="B103" s="53"/>
      <c r="D103" s="62"/>
      <c r="E103" s="63" t="s">
        <v>77</v>
      </c>
      <c r="F103" s="63"/>
      <c r="G103" s="61"/>
      <c r="H103" s="58"/>
      <c r="I103" s="52"/>
    </row>
    <row r="104" hidden="1" outlineLevel="1">
      <c r="A104" s="97"/>
      <c r="B104" s="53"/>
      <c r="C104" s="65" t="s">
        <v>11</v>
      </c>
      <c r="D104" s="66"/>
      <c r="E104" s="67"/>
      <c r="F104" s="67"/>
      <c r="G104" s="76"/>
      <c r="H104" s="70"/>
      <c r="I104" s="52"/>
    </row>
    <row r="105" hidden="1" outlineLevel="1">
      <c r="A105" s="97"/>
      <c r="B105" s="53"/>
      <c r="D105" s="72"/>
      <c r="E105" s="72"/>
      <c r="F105" s="72"/>
      <c r="G105" s="76"/>
      <c r="H105" s="70"/>
      <c r="I105" s="52"/>
    </row>
    <row r="106" hidden="1" outlineLevel="1">
      <c r="A106" s="97"/>
      <c r="B106" s="53"/>
      <c r="D106" s="70"/>
      <c r="E106" s="74"/>
      <c r="F106" s="74"/>
      <c r="G106" s="76"/>
      <c r="H106" s="70"/>
      <c r="I106" s="52"/>
    </row>
    <row r="107" hidden="1" outlineLevel="1">
      <c r="A107" s="97"/>
      <c r="B107" s="53"/>
      <c r="C107" s="77" t="s">
        <v>78</v>
      </c>
      <c r="D107" s="78"/>
      <c r="E107" s="79" t="s">
        <v>79</v>
      </c>
      <c r="F107" s="79"/>
      <c r="G107" s="82"/>
      <c r="H107" s="82"/>
      <c r="I107" s="52"/>
    </row>
    <row r="108" hidden="1" outlineLevel="1">
      <c r="A108" s="97"/>
      <c r="B108" s="53"/>
      <c r="D108" s="82"/>
      <c r="E108" s="79" t="s">
        <v>70</v>
      </c>
      <c r="F108" s="79"/>
      <c r="G108" s="82"/>
      <c r="H108" s="82"/>
      <c r="I108" s="52"/>
    </row>
    <row r="109" hidden="1" outlineLevel="1">
      <c r="A109" s="97"/>
      <c r="B109" s="53"/>
      <c r="D109" s="82"/>
      <c r="E109" s="79" t="s">
        <v>72</v>
      </c>
      <c r="F109" s="79"/>
      <c r="G109" s="82"/>
      <c r="H109" s="82"/>
      <c r="I109" s="52"/>
    </row>
    <row r="110" hidden="1" outlineLevel="1">
      <c r="A110" s="97"/>
      <c r="B110" s="53"/>
      <c r="D110" s="82"/>
      <c r="E110" s="79" t="s">
        <v>75</v>
      </c>
      <c r="F110" s="79"/>
      <c r="G110" s="82"/>
      <c r="H110" s="82"/>
      <c r="I110" s="52"/>
    </row>
    <row r="111" hidden="1" outlineLevel="1">
      <c r="A111" s="97"/>
      <c r="B111" s="53"/>
      <c r="D111" s="82"/>
      <c r="E111" s="79" t="s">
        <v>77</v>
      </c>
      <c r="F111" s="79"/>
      <c r="G111" s="82"/>
      <c r="H111" s="82"/>
      <c r="I111" s="52"/>
    </row>
    <row r="112" hidden="1" outlineLevel="1">
      <c r="A112" s="97"/>
      <c r="B112" s="53"/>
      <c r="C112" s="53"/>
      <c r="D112" s="53"/>
      <c r="E112" s="53"/>
      <c r="F112" s="53"/>
      <c r="G112" s="53"/>
      <c r="H112" s="53"/>
      <c r="I112" s="52"/>
    </row>
    <row r="113" hidden="1" outlineLevel="1">
      <c r="A113" s="97"/>
      <c r="B113" s="53"/>
      <c r="C113" s="53"/>
      <c r="D113" s="53"/>
      <c r="E113" s="53"/>
      <c r="F113" s="53"/>
      <c r="G113" s="53"/>
      <c r="H113" s="53"/>
      <c r="I113" s="52"/>
    </row>
    <row r="114" hidden="1" outlineLevel="1">
      <c r="A114" s="97"/>
      <c r="B114" s="53"/>
      <c r="C114" s="53"/>
      <c r="D114" s="53"/>
      <c r="E114" s="53"/>
      <c r="F114" s="53"/>
      <c r="G114" s="53"/>
      <c r="H114" s="53"/>
      <c r="I114" s="52"/>
    </row>
    <row r="115" collapsed="1">
      <c r="A115" s="86"/>
      <c r="B115" s="87"/>
      <c r="C115" s="87"/>
      <c r="D115" s="89"/>
      <c r="E115" s="89"/>
      <c r="F115" s="89"/>
      <c r="G115" s="89"/>
      <c r="H115" s="87"/>
      <c r="I115" s="52"/>
    </row>
    <row r="116" hidden="1" outlineLevel="1">
      <c r="A116" s="92" t="s">
        <v>118</v>
      </c>
      <c r="B116" s="92"/>
      <c r="C116" s="92"/>
      <c r="D116" s="92"/>
      <c r="E116" s="92"/>
      <c r="F116" s="92"/>
      <c r="G116" s="92"/>
      <c r="H116" s="92"/>
      <c r="I116" s="52"/>
    </row>
    <row r="117" hidden="1" outlineLevel="1">
      <c r="A117" s="95"/>
      <c r="B117" s="92"/>
      <c r="C117" s="54" t="s">
        <v>10</v>
      </c>
      <c r="D117" s="55"/>
      <c r="E117" s="56" t="s">
        <v>82</v>
      </c>
      <c r="F117" s="56"/>
      <c r="G117" s="61"/>
      <c r="H117" s="58"/>
      <c r="I117" s="52"/>
    </row>
    <row r="118" hidden="1" outlineLevel="1">
      <c r="A118" s="97"/>
      <c r="B118" s="53"/>
      <c r="D118" s="59"/>
      <c r="E118" s="56" t="s">
        <v>83</v>
      </c>
      <c r="F118" s="56"/>
      <c r="G118" s="61"/>
      <c r="H118" s="58"/>
      <c r="I118" s="52"/>
    </row>
    <row r="119" hidden="1" outlineLevel="1">
      <c r="A119" s="97"/>
      <c r="B119" s="53"/>
      <c r="D119" s="61"/>
      <c r="E119" s="56" t="s">
        <v>84</v>
      </c>
      <c r="F119" s="56"/>
      <c r="G119" s="61"/>
      <c r="H119" s="58"/>
      <c r="I119" s="75"/>
    </row>
    <row r="120" hidden="1" outlineLevel="1">
      <c r="A120" s="92" t="s">
        <v>198</v>
      </c>
      <c r="B120" s="92" t="s">
        <v>199</v>
      </c>
      <c r="D120" s="61"/>
      <c r="E120" s="56" t="s">
        <v>85</v>
      </c>
      <c r="F120" s="56"/>
      <c r="G120" s="61"/>
      <c r="H120" s="58"/>
      <c r="I120" s="52"/>
    </row>
    <row r="121" hidden="1" outlineLevel="1">
      <c r="A121" s="97"/>
      <c r="B121" s="53"/>
      <c r="D121" s="62"/>
      <c r="E121" s="63" t="s">
        <v>86</v>
      </c>
      <c r="F121" s="63"/>
      <c r="G121" s="61"/>
      <c r="H121" s="55"/>
      <c r="I121" s="60"/>
    </row>
    <row r="122" hidden="1" outlineLevel="1">
      <c r="A122" s="97"/>
      <c r="B122" s="53"/>
      <c r="C122" s="113" t="s">
        <v>98</v>
      </c>
      <c r="D122" s="70"/>
      <c r="E122" s="67"/>
      <c r="F122" s="67"/>
      <c r="G122" s="76"/>
      <c r="H122" s="70"/>
      <c r="I122" s="52"/>
    </row>
    <row r="123" hidden="1" outlineLevel="1">
      <c r="A123" s="97"/>
      <c r="B123" s="53"/>
      <c r="D123" s="171"/>
      <c r="E123" s="72"/>
      <c r="F123" s="72"/>
      <c r="G123" s="76"/>
      <c r="H123" s="70"/>
      <c r="I123" s="52"/>
    </row>
    <row r="124" hidden="1" outlineLevel="1">
      <c r="A124" s="97"/>
      <c r="B124" s="53"/>
      <c r="D124" s="70"/>
      <c r="E124" s="74"/>
      <c r="F124" s="74"/>
      <c r="G124" s="76"/>
      <c r="H124" s="70"/>
      <c r="I124" s="52"/>
    </row>
    <row r="125" hidden="1" outlineLevel="1">
      <c r="A125" s="97"/>
      <c r="B125" s="53"/>
      <c r="C125" s="77" t="s">
        <v>78</v>
      </c>
      <c r="D125" s="78"/>
      <c r="E125" s="79" t="s">
        <v>82</v>
      </c>
      <c r="F125" s="79"/>
      <c r="G125" s="82"/>
      <c r="H125" s="82"/>
      <c r="I125" s="52"/>
    </row>
    <row r="126" hidden="1" outlineLevel="1">
      <c r="A126" s="97"/>
      <c r="B126" s="53"/>
      <c r="D126" s="78"/>
      <c r="E126" s="79" t="s">
        <v>83</v>
      </c>
      <c r="F126" s="79"/>
      <c r="G126" s="82"/>
      <c r="H126" s="82"/>
      <c r="I126" s="52"/>
    </row>
    <row r="127" hidden="1" outlineLevel="1">
      <c r="A127" s="97"/>
      <c r="B127" s="53"/>
      <c r="D127" s="78"/>
      <c r="E127" s="79" t="s">
        <v>84</v>
      </c>
      <c r="F127" s="79"/>
      <c r="G127" s="82"/>
      <c r="H127" s="82"/>
      <c r="I127" s="52"/>
    </row>
    <row r="128" hidden="1" outlineLevel="1">
      <c r="A128" s="97"/>
      <c r="B128" s="53"/>
      <c r="D128" s="83"/>
      <c r="E128" s="79" t="s">
        <v>85</v>
      </c>
      <c r="F128" s="79"/>
      <c r="G128" s="82"/>
      <c r="H128" s="82"/>
      <c r="I128" s="52"/>
    </row>
    <row r="129" hidden="1" outlineLevel="1">
      <c r="A129" s="108"/>
      <c r="B129" s="108"/>
      <c r="C129" s="121"/>
      <c r="D129" s="83"/>
      <c r="E129" s="79" t="s">
        <v>86</v>
      </c>
      <c r="F129" s="79"/>
      <c r="G129" s="82"/>
      <c r="H129" s="82"/>
      <c r="I129" s="52"/>
    </row>
    <row r="130" hidden="1" outlineLevel="1">
      <c r="A130" s="86"/>
      <c r="B130" s="87"/>
      <c r="C130" s="87"/>
      <c r="D130" s="89"/>
      <c r="E130" s="89"/>
      <c r="F130" s="89"/>
      <c r="G130" s="89"/>
      <c r="H130" s="87"/>
      <c r="I130" s="52"/>
    </row>
    <row r="131" hidden="1" outlineLevel="1">
      <c r="A131" s="92" t="s">
        <v>87</v>
      </c>
      <c r="B131" s="92"/>
      <c r="C131" s="92"/>
      <c r="D131" s="92"/>
      <c r="E131" s="92"/>
      <c r="F131" s="92"/>
      <c r="G131" s="92"/>
      <c r="H131" s="92"/>
      <c r="I131" s="52"/>
    </row>
    <row r="132" hidden="1" outlineLevel="1">
      <c r="A132" s="95"/>
      <c r="B132" s="92"/>
      <c r="C132" s="54" t="s">
        <v>10</v>
      </c>
      <c r="D132" s="55"/>
      <c r="E132" s="56" t="s">
        <v>86</v>
      </c>
      <c r="F132" s="56"/>
      <c r="G132" s="61"/>
      <c r="H132" s="58"/>
      <c r="I132" s="52"/>
    </row>
    <row r="133" ht="14.25" hidden="1" customHeight="1" outlineLevel="1">
      <c r="A133" s="97"/>
      <c r="B133" s="53"/>
      <c r="D133" s="110"/>
      <c r="E133" s="56" t="s">
        <v>91</v>
      </c>
      <c r="F133" s="56"/>
      <c r="G133" s="61"/>
      <c r="H133" s="58"/>
      <c r="I133" s="60"/>
    </row>
    <row r="134" hidden="1" outlineLevel="1">
      <c r="A134" s="97"/>
      <c r="B134" s="53"/>
      <c r="D134" s="111"/>
      <c r="E134" s="56" t="s">
        <v>93</v>
      </c>
      <c r="F134" s="56"/>
      <c r="G134" s="61"/>
      <c r="H134" s="58"/>
      <c r="I134" s="52"/>
    </row>
    <row r="135" hidden="1" outlineLevel="1">
      <c r="A135" s="97"/>
      <c r="B135" s="53"/>
      <c r="D135" s="111"/>
      <c r="E135" s="56" t="s">
        <v>95</v>
      </c>
      <c r="F135" s="56"/>
      <c r="G135" s="61"/>
      <c r="H135" s="58"/>
      <c r="I135" s="75"/>
    </row>
    <row r="136" hidden="1" outlineLevel="1">
      <c r="A136" s="97"/>
      <c r="B136" s="53"/>
      <c r="D136" s="112"/>
      <c r="E136" s="63" t="s">
        <v>97</v>
      </c>
      <c r="F136" s="63"/>
      <c r="G136" s="61"/>
      <c r="H136" s="58"/>
      <c r="I136" s="75"/>
    </row>
    <row r="137" hidden="1" outlineLevel="1">
      <c r="A137" s="97"/>
      <c r="B137" s="53"/>
      <c r="C137" s="113" t="s">
        <v>98</v>
      </c>
      <c r="D137" s="66"/>
      <c r="E137" s="67" t="s">
        <v>86</v>
      </c>
      <c r="F137" s="67"/>
      <c r="G137" s="76"/>
      <c r="H137" s="70"/>
      <c r="I137" s="52"/>
    </row>
    <row r="138" hidden="1" outlineLevel="1">
      <c r="A138" s="97"/>
      <c r="B138" s="53"/>
      <c r="D138" s="71"/>
      <c r="E138" s="72" t="s">
        <v>91</v>
      </c>
      <c r="F138" s="72"/>
      <c r="G138" s="76"/>
      <c r="H138" s="70"/>
      <c r="I138" s="52"/>
    </row>
    <row r="139" hidden="1" outlineLevel="1">
      <c r="A139" s="97"/>
      <c r="B139" s="53"/>
      <c r="D139" s="70"/>
      <c r="E139" s="74" t="s">
        <v>99</v>
      </c>
      <c r="F139" s="74"/>
      <c r="G139" s="76"/>
      <c r="H139" s="70"/>
      <c r="I139" s="52"/>
    </row>
    <row r="140" hidden="1" outlineLevel="1">
      <c r="A140" s="97"/>
      <c r="B140" s="53"/>
      <c r="C140" s="77" t="s">
        <v>78</v>
      </c>
      <c r="D140" s="78"/>
      <c r="E140" s="79" t="s">
        <v>91</v>
      </c>
      <c r="F140" s="79"/>
      <c r="G140" s="82"/>
      <c r="H140" s="82"/>
      <c r="I140" s="52"/>
    </row>
    <row r="141" hidden="1" outlineLevel="1">
      <c r="A141" s="97"/>
      <c r="B141" s="53"/>
      <c r="D141" s="78"/>
      <c r="E141" s="79" t="s">
        <v>93</v>
      </c>
      <c r="F141" s="79"/>
      <c r="G141" s="82"/>
      <c r="H141" s="82"/>
      <c r="I141" s="52"/>
    </row>
    <row r="142" hidden="1" outlineLevel="1">
      <c r="A142" s="97"/>
      <c r="B142" s="53"/>
      <c r="D142" s="78"/>
      <c r="E142" s="79" t="s">
        <v>95</v>
      </c>
      <c r="F142" s="79"/>
      <c r="G142" s="82"/>
      <c r="H142" s="82"/>
      <c r="I142" s="52"/>
    </row>
    <row r="143" hidden="1" outlineLevel="1">
      <c r="A143" s="97"/>
      <c r="B143" s="53"/>
      <c r="D143" s="78"/>
      <c r="E143" s="84" t="s">
        <v>97</v>
      </c>
      <c r="F143" s="84"/>
      <c r="G143" s="82"/>
      <c r="H143" s="82"/>
      <c r="I143" s="52"/>
    </row>
    <row r="144" collapsed="1">
      <c r="A144" s="86"/>
      <c r="B144" s="87"/>
      <c r="C144" s="87"/>
      <c r="D144" s="89"/>
      <c r="E144" s="89"/>
      <c r="F144" s="89"/>
      <c r="G144" s="89"/>
      <c r="H144" s="87"/>
      <c r="I144" s="122"/>
    </row>
    <row r="145" hidden="1" outlineLevel="1">
      <c r="A145" s="92" t="s">
        <v>119</v>
      </c>
      <c r="B145" s="92"/>
      <c r="C145" s="92"/>
      <c r="D145" s="92"/>
      <c r="E145" s="92"/>
      <c r="F145" s="92"/>
      <c r="G145" s="92"/>
      <c r="H145" s="92"/>
      <c r="I145" s="52"/>
    </row>
    <row r="146" hidden="1" outlineLevel="1">
      <c r="A146" s="95"/>
      <c r="B146" s="92"/>
      <c r="C146" s="54" t="s">
        <v>31</v>
      </c>
      <c r="D146" s="256" t="s">
        <v>333</v>
      </c>
      <c r="E146" s="56" t="s">
        <v>334</v>
      </c>
      <c r="F146" s="56" t="s">
        <v>17</v>
      </c>
      <c r="G146" s="61"/>
      <c r="H146" s="172" t="s">
        <v>89</v>
      </c>
      <c r="I146" s="52"/>
    </row>
    <row r="147" hidden="1" outlineLevel="1">
      <c r="A147" s="97"/>
      <c r="B147" s="53"/>
      <c r="D147" s="101" t="s">
        <v>335</v>
      </c>
      <c r="E147" s="56" t="s">
        <v>336</v>
      </c>
      <c r="F147" s="56" t="s">
        <v>14</v>
      </c>
      <c r="G147" s="61"/>
      <c r="H147" s="58" t="s">
        <v>89</v>
      </c>
      <c r="I147" s="52"/>
    </row>
    <row r="148" hidden="1" outlineLevel="1">
      <c r="A148" s="97"/>
      <c r="B148" s="53"/>
      <c r="D148" s="98" t="s">
        <v>337</v>
      </c>
      <c r="E148" s="56" t="s">
        <v>338</v>
      </c>
      <c r="F148" s="56" t="s">
        <v>17</v>
      </c>
      <c r="G148" s="61"/>
      <c r="H148" s="58" t="s">
        <v>89</v>
      </c>
      <c r="I148" s="52"/>
    </row>
    <row r="149" hidden="1" outlineLevel="1">
      <c r="A149" s="173">
        <v>45594.0</v>
      </c>
      <c r="B149" s="92" t="s">
        <v>204</v>
      </c>
      <c r="D149" s="98" t="s">
        <v>339</v>
      </c>
      <c r="E149" s="63" t="s">
        <v>205</v>
      </c>
      <c r="F149" s="63" t="s">
        <v>14</v>
      </c>
      <c r="G149" s="61"/>
      <c r="H149" s="58" t="s">
        <v>89</v>
      </c>
      <c r="I149" s="52"/>
    </row>
    <row r="150" hidden="1" outlineLevel="1">
      <c r="A150" s="97"/>
      <c r="B150" s="53"/>
      <c r="C150" s="113" t="s">
        <v>37</v>
      </c>
      <c r="D150" s="100" t="s">
        <v>340</v>
      </c>
      <c r="E150" s="67" t="s">
        <v>341</v>
      </c>
      <c r="F150" s="67"/>
      <c r="G150" s="76"/>
      <c r="H150" s="70"/>
      <c r="I150" s="52"/>
    </row>
    <row r="151" hidden="1" outlineLevel="1">
      <c r="A151" s="97"/>
      <c r="B151" s="53"/>
      <c r="D151" s="72"/>
      <c r="E151" s="72"/>
      <c r="F151" s="72"/>
      <c r="G151" s="76"/>
      <c r="H151" s="70"/>
      <c r="I151" s="52"/>
    </row>
    <row r="152" hidden="1" outlineLevel="1">
      <c r="A152" s="97"/>
      <c r="B152" s="53"/>
      <c r="D152" s="70"/>
      <c r="E152" s="74"/>
      <c r="F152" s="74"/>
      <c r="G152" s="76"/>
      <c r="H152" s="70"/>
      <c r="I152" s="52"/>
    </row>
    <row r="153" hidden="1" outlineLevel="1">
      <c r="A153" s="86"/>
      <c r="B153" s="87"/>
      <c r="C153" s="87"/>
      <c r="D153" s="89"/>
      <c r="E153" s="89"/>
      <c r="F153" s="89"/>
      <c r="G153" s="89"/>
      <c r="H153" s="87"/>
      <c r="I153" s="122"/>
    </row>
    <row r="154" hidden="1" outlineLevel="1">
      <c r="A154" s="92" t="s">
        <v>100</v>
      </c>
      <c r="B154" s="92"/>
      <c r="C154" s="92"/>
      <c r="D154" s="92"/>
      <c r="E154" s="92"/>
      <c r="F154" s="92"/>
      <c r="G154" s="92"/>
      <c r="H154" s="92"/>
      <c r="I154" s="52"/>
    </row>
    <row r="155" hidden="1" outlineLevel="1">
      <c r="A155" s="95"/>
      <c r="B155" s="92"/>
      <c r="C155" s="54" t="s">
        <v>31</v>
      </c>
      <c r="D155" s="256" t="s">
        <v>342</v>
      </c>
      <c r="E155" s="56" t="s">
        <v>343</v>
      </c>
      <c r="F155" s="56" t="s">
        <v>17</v>
      </c>
      <c r="G155" s="56" t="s">
        <v>42</v>
      </c>
      <c r="H155" s="55"/>
      <c r="I155" s="257"/>
    </row>
    <row r="156" hidden="1" outlineLevel="1">
      <c r="A156" s="97"/>
      <c r="B156" s="53"/>
      <c r="D156" s="101" t="s">
        <v>344</v>
      </c>
      <c r="E156" s="56" t="s">
        <v>345</v>
      </c>
      <c r="F156" s="56" t="s">
        <v>14</v>
      </c>
      <c r="G156" s="56" t="s">
        <v>42</v>
      </c>
      <c r="H156" s="55"/>
      <c r="I156" s="52"/>
    </row>
    <row r="157" hidden="1" outlineLevel="1">
      <c r="A157" s="97"/>
      <c r="B157" s="53"/>
      <c r="D157" s="98" t="s">
        <v>346</v>
      </c>
      <c r="E157" s="56" t="s">
        <v>347</v>
      </c>
      <c r="F157" s="56" t="s">
        <v>17</v>
      </c>
      <c r="G157" s="56" t="s">
        <v>42</v>
      </c>
      <c r="H157" s="55"/>
      <c r="I157" s="60"/>
    </row>
    <row r="158" hidden="1" outlineLevel="1">
      <c r="A158" s="97"/>
      <c r="B158" s="53"/>
      <c r="D158" s="98" t="s">
        <v>348</v>
      </c>
      <c r="E158" s="56" t="s">
        <v>349</v>
      </c>
      <c r="F158" s="56" t="s">
        <v>111</v>
      </c>
      <c r="G158" s="56" t="s">
        <v>42</v>
      </c>
      <c r="H158" s="55"/>
      <c r="I158" s="52"/>
    </row>
    <row r="159" hidden="1" outlineLevel="1">
      <c r="A159" s="97"/>
      <c r="B159" s="53"/>
      <c r="D159" s="258" t="s">
        <v>350</v>
      </c>
      <c r="E159" s="63" t="s">
        <v>351</v>
      </c>
      <c r="F159" s="63" t="s">
        <v>27</v>
      </c>
      <c r="G159" s="56" t="s">
        <v>42</v>
      </c>
      <c r="H159" s="55"/>
      <c r="I159" s="52"/>
    </row>
    <row r="160" hidden="1" outlineLevel="1">
      <c r="A160" s="97"/>
      <c r="B160" s="53"/>
      <c r="C160" s="113" t="s">
        <v>18</v>
      </c>
      <c r="D160" s="259"/>
      <c r="E160" s="67" t="s">
        <v>343</v>
      </c>
      <c r="F160" s="67" t="s">
        <v>17</v>
      </c>
      <c r="G160" s="76"/>
      <c r="H160" s="118"/>
      <c r="I160" s="257"/>
    </row>
    <row r="161" hidden="1" outlineLevel="1">
      <c r="A161" s="97"/>
      <c r="B161" s="53"/>
      <c r="D161" s="71"/>
      <c r="E161" s="72" t="s">
        <v>345</v>
      </c>
      <c r="F161" s="72" t="s">
        <v>14</v>
      </c>
      <c r="G161" s="76"/>
      <c r="H161" s="118"/>
      <c r="I161" s="52"/>
    </row>
    <row r="162" hidden="1" outlineLevel="1">
      <c r="A162" s="97"/>
      <c r="B162" s="53"/>
      <c r="D162" s="70"/>
      <c r="E162" s="74" t="s">
        <v>347</v>
      </c>
      <c r="F162" s="74" t="s">
        <v>17</v>
      </c>
      <c r="G162" s="76"/>
      <c r="H162" s="118"/>
      <c r="I162" s="52"/>
    </row>
    <row r="163" hidden="1" outlineLevel="1">
      <c r="A163" s="97"/>
      <c r="B163" s="53"/>
      <c r="D163" s="260"/>
      <c r="E163" s="74" t="s">
        <v>349</v>
      </c>
      <c r="F163" s="74" t="s">
        <v>14</v>
      </c>
      <c r="G163" s="76"/>
      <c r="H163" s="118"/>
      <c r="I163" s="52"/>
    </row>
    <row r="164" hidden="1" outlineLevel="1">
      <c r="A164" s="97"/>
      <c r="B164" s="53"/>
      <c r="D164" s="70"/>
      <c r="E164" s="74" t="s">
        <v>351</v>
      </c>
      <c r="F164" s="74"/>
      <c r="G164" s="76"/>
      <c r="H164" s="118"/>
      <c r="I164" s="52"/>
    </row>
    <row r="165" hidden="1" outlineLevel="1">
      <c r="A165" s="108"/>
      <c r="B165" s="108"/>
      <c r="C165" s="119" t="s">
        <v>38</v>
      </c>
      <c r="D165" s="78"/>
      <c r="E165" s="78"/>
      <c r="F165" s="78"/>
      <c r="G165" s="78"/>
      <c r="H165" s="121"/>
      <c r="I165" s="75"/>
    </row>
    <row r="166" hidden="1" outlineLevel="1">
      <c r="A166" s="108"/>
      <c r="B166" s="108"/>
      <c r="D166" s="78"/>
      <c r="E166" s="78"/>
      <c r="F166" s="78"/>
      <c r="G166" s="78"/>
      <c r="H166" s="121"/>
      <c r="I166" s="52"/>
    </row>
    <row r="167" hidden="1" outlineLevel="1">
      <c r="A167" s="108"/>
      <c r="B167" s="108"/>
      <c r="D167" s="78"/>
      <c r="E167" s="78"/>
      <c r="F167" s="78"/>
      <c r="G167" s="78"/>
      <c r="H167" s="121"/>
      <c r="I167" s="52"/>
    </row>
    <row r="168" hidden="1" outlineLevel="1">
      <c r="A168" s="108"/>
      <c r="B168" s="108"/>
      <c r="D168" s="78"/>
      <c r="E168" s="78"/>
      <c r="F168" s="78"/>
      <c r="G168" s="78"/>
      <c r="H168" s="121"/>
      <c r="I168" s="52"/>
    </row>
    <row r="169" hidden="1" outlineLevel="1">
      <c r="A169" s="86"/>
      <c r="B169" s="87"/>
      <c r="C169" s="87"/>
      <c r="D169" s="89"/>
      <c r="E169" s="89"/>
      <c r="F169" s="89"/>
      <c r="G169" s="89"/>
      <c r="H169" s="87"/>
      <c r="I169" s="122"/>
    </row>
  </sheetData>
  <mergeCells count="33">
    <mergeCell ref="C2:C5"/>
    <mergeCell ref="C6:C9"/>
    <mergeCell ref="C12:C15"/>
    <mergeCell ref="C16:C19"/>
    <mergeCell ref="C22:C25"/>
    <mergeCell ref="C26:C29"/>
    <mergeCell ref="C32:C35"/>
    <mergeCell ref="C36:C39"/>
    <mergeCell ref="C42:C46"/>
    <mergeCell ref="C47:C51"/>
    <mergeCell ref="C52:C56"/>
    <mergeCell ref="C59:C62"/>
    <mergeCell ref="C63:C66"/>
    <mergeCell ref="C67:C71"/>
    <mergeCell ref="C72:C75"/>
    <mergeCell ref="C76:C78"/>
    <mergeCell ref="C81:C85"/>
    <mergeCell ref="C86:C88"/>
    <mergeCell ref="C89:C93"/>
    <mergeCell ref="C99:C103"/>
    <mergeCell ref="C104:C106"/>
    <mergeCell ref="C146:C149"/>
    <mergeCell ref="C150:C152"/>
    <mergeCell ref="C155:C159"/>
    <mergeCell ref="C160:C164"/>
    <mergeCell ref="C165:C168"/>
    <mergeCell ref="C107:C111"/>
    <mergeCell ref="C117:C121"/>
    <mergeCell ref="C122:C124"/>
    <mergeCell ref="C125:C128"/>
    <mergeCell ref="C132:C136"/>
    <mergeCell ref="C137:C139"/>
    <mergeCell ref="C140:C143"/>
  </mergeCells>
  <dataValidations>
    <dataValidation type="list" allowBlank="1" showErrorMessage="1" sqref="H146:H149 H155:H164">
      <formula1>"Pendiente,En curso,Ok (sin programar),Programado,Publicado"</formula1>
    </dataValidation>
  </dataValidations>
  <hyperlinks>
    <hyperlink r:id="rId1" ref="D146"/>
    <hyperlink r:id="rId2" ref="D147"/>
    <hyperlink r:id="rId3" ref="D148"/>
    <hyperlink r:id="rId4" ref="D149"/>
    <hyperlink r:id="rId5" ref="D155"/>
    <hyperlink r:id="rId6" ref="D156"/>
    <hyperlink r:id="rId7" ref="D157"/>
    <hyperlink r:id="rId8" ref="D158"/>
    <hyperlink r:id="rId9" ref="D159"/>
  </hyperlinks>
  <drawing r:id="rId1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5.13"/>
    <col customWidth="1" min="2" max="2" width="55.63"/>
    <col customWidth="1" min="3" max="3" width="24.75"/>
    <col customWidth="1" min="4" max="4" width="20.75"/>
  </cols>
  <sheetData>
    <row r="1" ht="22.5" customHeight="1">
      <c r="A1" s="261" t="s">
        <v>352</v>
      </c>
      <c r="B1" s="262" t="s">
        <v>353</v>
      </c>
      <c r="C1" s="262" t="s">
        <v>354</v>
      </c>
      <c r="D1" s="262" t="s">
        <v>355</v>
      </c>
    </row>
    <row r="2" ht="22.5" customHeight="1">
      <c r="A2" s="263" t="s">
        <v>356</v>
      </c>
      <c r="B2" s="263" t="s">
        <v>357</v>
      </c>
      <c r="C2" s="263" t="s">
        <v>358</v>
      </c>
      <c r="D2" s="264" t="s">
        <v>242</v>
      </c>
    </row>
    <row r="3" ht="22.5" customHeight="1">
      <c r="A3" s="263" t="s">
        <v>359</v>
      </c>
      <c r="B3" s="263" t="s">
        <v>360</v>
      </c>
      <c r="C3" s="263" t="s">
        <v>358</v>
      </c>
      <c r="D3" s="264" t="s">
        <v>234</v>
      </c>
    </row>
    <row r="4" ht="22.5" customHeight="1">
      <c r="A4" s="263" t="s">
        <v>361</v>
      </c>
      <c r="B4" s="263" t="s">
        <v>362</v>
      </c>
      <c r="C4" s="263" t="s">
        <v>363</v>
      </c>
      <c r="D4" s="264" t="s">
        <v>234</v>
      </c>
    </row>
    <row r="5" ht="22.5" customHeight="1">
      <c r="A5" s="263" t="s">
        <v>364</v>
      </c>
      <c r="B5" s="263" t="s">
        <v>365</v>
      </c>
      <c r="C5" s="263" t="s">
        <v>358</v>
      </c>
      <c r="D5" s="264" t="s">
        <v>234</v>
      </c>
    </row>
    <row r="6" ht="22.5" customHeight="1">
      <c r="A6" s="263" t="s">
        <v>366</v>
      </c>
      <c r="B6" s="263" t="s">
        <v>367</v>
      </c>
      <c r="C6" s="263" t="s">
        <v>368</v>
      </c>
      <c r="D6" s="264" t="s">
        <v>234</v>
      </c>
    </row>
    <row r="7" ht="22.5" customHeight="1">
      <c r="A7" s="263" t="s">
        <v>369</v>
      </c>
      <c r="B7" s="263" t="s">
        <v>370</v>
      </c>
      <c r="C7" s="263" t="s">
        <v>371</v>
      </c>
      <c r="D7" s="264" t="s">
        <v>242</v>
      </c>
    </row>
    <row r="8" ht="22.5" customHeight="1">
      <c r="A8" s="263" t="s">
        <v>372</v>
      </c>
      <c r="B8" s="263" t="s">
        <v>373</v>
      </c>
      <c r="C8" s="263" t="s">
        <v>374</v>
      </c>
      <c r="D8" s="264" t="s">
        <v>234</v>
      </c>
    </row>
    <row r="9" ht="22.5" customHeight="1">
      <c r="A9" s="263" t="s">
        <v>375</v>
      </c>
      <c r="B9" s="263" t="s">
        <v>376</v>
      </c>
      <c r="C9" s="263" t="s">
        <v>371</v>
      </c>
      <c r="D9" s="264" t="s">
        <v>242</v>
      </c>
    </row>
    <row r="10" ht="22.5" customHeight="1">
      <c r="A10" s="263" t="s">
        <v>377</v>
      </c>
      <c r="B10" s="263" t="s">
        <v>378</v>
      </c>
      <c r="C10" s="263" t="s">
        <v>358</v>
      </c>
      <c r="D10" s="264" t="s">
        <v>234</v>
      </c>
    </row>
    <row r="11" ht="22.5" customHeight="1">
      <c r="A11" s="263" t="s">
        <v>379</v>
      </c>
      <c r="B11" s="263" t="s">
        <v>380</v>
      </c>
      <c r="C11" s="263" t="s">
        <v>371</v>
      </c>
      <c r="D11" s="264" t="s">
        <v>234</v>
      </c>
    </row>
    <row r="12" ht="22.5" customHeight="1">
      <c r="A12" s="263" t="s">
        <v>381</v>
      </c>
      <c r="B12" s="263" t="s">
        <v>382</v>
      </c>
      <c r="C12" s="263" t="s">
        <v>358</v>
      </c>
      <c r="D12" s="264" t="s">
        <v>242</v>
      </c>
    </row>
    <row r="13" ht="22.5" customHeight="1">
      <c r="A13" s="263" t="s">
        <v>383</v>
      </c>
      <c r="B13" s="263" t="s">
        <v>384</v>
      </c>
      <c r="C13" s="263" t="s">
        <v>368</v>
      </c>
      <c r="D13" s="264" t="s">
        <v>234</v>
      </c>
    </row>
    <row r="14" ht="22.5" customHeight="1">
      <c r="A14" s="263" t="s">
        <v>385</v>
      </c>
      <c r="B14" s="263" t="s">
        <v>386</v>
      </c>
      <c r="C14" s="263" t="s">
        <v>358</v>
      </c>
      <c r="D14" s="264" t="s">
        <v>387</v>
      </c>
    </row>
    <row r="15" ht="22.5" customHeight="1">
      <c r="A15" s="263" t="s">
        <v>388</v>
      </c>
      <c r="B15" s="263" t="s">
        <v>389</v>
      </c>
      <c r="C15" s="263" t="s">
        <v>368</v>
      </c>
      <c r="D15" s="264" t="s">
        <v>234</v>
      </c>
    </row>
    <row r="16" ht="22.5" customHeight="1">
      <c r="A16" s="263" t="s">
        <v>390</v>
      </c>
      <c r="B16" s="263" t="s">
        <v>391</v>
      </c>
      <c r="C16" s="263" t="s">
        <v>358</v>
      </c>
      <c r="D16" s="264" t="s">
        <v>234</v>
      </c>
    </row>
    <row r="17" ht="22.5" customHeight="1">
      <c r="A17" s="263" t="s">
        <v>392</v>
      </c>
      <c r="B17" s="263" t="s">
        <v>393</v>
      </c>
      <c r="C17" s="263" t="s">
        <v>358</v>
      </c>
      <c r="D17" s="264" t="s">
        <v>387</v>
      </c>
    </row>
    <row r="18" ht="22.5" customHeight="1">
      <c r="A18" s="263" t="s">
        <v>394</v>
      </c>
      <c r="B18" s="263" t="s">
        <v>395</v>
      </c>
      <c r="C18" s="263" t="s">
        <v>358</v>
      </c>
      <c r="D18" s="264" t="s">
        <v>387</v>
      </c>
    </row>
    <row r="19" ht="22.5" customHeight="1">
      <c r="A19" s="263" t="s">
        <v>396</v>
      </c>
      <c r="B19" s="263" t="s">
        <v>397</v>
      </c>
      <c r="C19" s="263" t="s">
        <v>358</v>
      </c>
      <c r="D19" s="264" t="s">
        <v>242</v>
      </c>
    </row>
    <row r="20" ht="22.5" customHeight="1">
      <c r="A20" s="265" t="s">
        <v>398</v>
      </c>
      <c r="B20" s="265" t="s">
        <v>399</v>
      </c>
      <c r="C20" s="265" t="s">
        <v>371</v>
      </c>
      <c r="D20" s="266" t="s">
        <v>387</v>
      </c>
      <c r="E20" s="174"/>
      <c r="F20" s="174"/>
      <c r="G20" s="174"/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 ht="22.5" customHeight="1">
      <c r="A21" s="263" t="s">
        <v>400</v>
      </c>
      <c r="B21" s="263" t="s">
        <v>401</v>
      </c>
      <c r="C21" s="263" t="s">
        <v>358</v>
      </c>
      <c r="D21" s="264" t="s">
        <v>234</v>
      </c>
    </row>
    <row r="22" ht="22.5" customHeight="1">
      <c r="A22" s="263" t="s">
        <v>402</v>
      </c>
      <c r="B22" s="263" t="s">
        <v>403</v>
      </c>
      <c r="C22" s="263" t="s">
        <v>368</v>
      </c>
      <c r="D22" s="264" t="s">
        <v>234</v>
      </c>
    </row>
    <row r="23" ht="22.5" customHeight="1">
      <c r="A23" s="263" t="s">
        <v>404</v>
      </c>
      <c r="B23" s="263" t="s">
        <v>405</v>
      </c>
      <c r="C23" s="263" t="s">
        <v>358</v>
      </c>
      <c r="D23" s="264" t="s">
        <v>242</v>
      </c>
    </row>
    <row r="24" ht="22.5" customHeight="1">
      <c r="A24" s="263" t="s">
        <v>406</v>
      </c>
      <c r="B24" s="263" t="s">
        <v>407</v>
      </c>
      <c r="C24" s="263" t="s">
        <v>358</v>
      </c>
      <c r="D24" s="264" t="s">
        <v>234</v>
      </c>
    </row>
    <row r="25" ht="22.5" customHeight="1">
      <c r="A25" s="263" t="s">
        <v>406</v>
      </c>
      <c r="B25" s="263" t="s">
        <v>204</v>
      </c>
      <c r="C25" s="263" t="s">
        <v>363</v>
      </c>
      <c r="D25" s="264" t="s">
        <v>234</v>
      </c>
    </row>
    <row r="26" ht="22.5" customHeight="1">
      <c r="A26" s="263" t="s">
        <v>408</v>
      </c>
      <c r="B26" s="263" t="s">
        <v>409</v>
      </c>
      <c r="C26" s="263" t="s">
        <v>363</v>
      </c>
      <c r="D26" s="264" t="s">
        <v>234</v>
      </c>
    </row>
    <row r="27" ht="22.5" customHeight="1">
      <c r="A27" s="263" t="s">
        <v>410</v>
      </c>
      <c r="B27" s="263" t="s">
        <v>411</v>
      </c>
      <c r="C27" s="263" t="s">
        <v>358</v>
      </c>
      <c r="D27" s="264" t="s">
        <v>387</v>
      </c>
    </row>
    <row r="28" ht="22.5" customHeight="1">
      <c r="A28" s="263" t="s">
        <v>412</v>
      </c>
      <c r="B28" s="263" t="s">
        <v>413</v>
      </c>
      <c r="C28" s="263" t="s">
        <v>371</v>
      </c>
      <c r="D28" s="264" t="s">
        <v>234</v>
      </c>
    </row>
    <row r="29" ht="22.5" customHeight="1">
      <c r="A29" s="267" t="s">
        <v>414</v>
      </c>
      <c r="B29" s="268"/>
      <c r="C29" s="268"/>
      <c r="D29" s="269"/>
    </row>
    <row r="30" ht="22.5" customHeight="1">
      <c r="A30" s="263" t="s">
        <v>415</v>
      </c>
      <c r="B30" s="263" t="s">
        <v>416</v>
      </c>
      <c r="C30" s="263" t="s">
        <v>417</v>
      </c>
      <c r="D30" s="264"/>
    </row>
    <row r="31" ht="22.5" customHeight="1">
      <c r="A31" s="263" t="s">
        <v>418</v>
      </c>
      <c r="B31" s="263" t="s">
        <v>419</v>
      </c>
      <c r="C31" s="263" t="s">
        <v>417</v>
      </c>
      <c r="D31" s="264"/>
    </row>
    <row r="32" ht="22.5" customHeight="1">
      <c r="A32" s="263" t="s">
        <v>420</v>
      </c>
      <c r="B32" s="263" t="s">
        <v>421</v>
      </c>
      <c r="C32" s="263" t="s">
        <v>417</v>
      </c>
      <c r="D32" s="264"/>
    </row>
    <row r="33" ht="22.5" customHeight="1">
      <c r="A33" s="263" t="s">
        <v>398</v>
      </c>
      <c r="B33" s="263" t="s">
        <v>422</v>
      </c>
      <c r="C33" s="263" t="s">
        <v>417</v>
      </c>
      <c r="D33" s="264"/>
    </row>
    <row r="34">
      <c r="D34" s="4"/>
    </row>
    <row r="35">
      <c r="D35" s="4"/>
    </row>
    <row r="36">
      <c r="D36" s="4"/>
    </row>
    <row r="37">
      <c r="D37" s="4"/>
    </row>
    <row r="38">
      <c r="D38" s="4"/>
    </row>
    <row r="39">
      <c r="D39" s="4"/>
    </row>
    <row r="40">
      <c r="D40" s="4"/>
    </row>
    <row r="41">
      <c r="D41" s="4"/>
    </row>
    <row r="42">
      <c r="D42" s="4"/>
    </row>
    <row r="43">
      <c r="D43" s="4"/>
    </row>
    <row r="44">
      <c r="D44" s="4"/>
    </row>
    <row r="45">
      <c r="D45" s="4"/>
    </row>
    <row r="46">
      <c r="D46" s="4"/>
    </row>
    <row r="47">
      <c r="D47" s="4"/>
    </row>
    <row r="48">
      <c r="D48" s="4"/>
    </row>
    <row r="49">
      <c r="D49" s="4"/>
    </row>
    <row r="50">
      <c r="D50" s="4"/>
    </row>
    <row r="51">
      <c r="D51" s="4"/>
    </row>
    <row r="52">
      <c r="D52" s="4"/>
    </row>
  </sheetData>
  <dataValidations>
    <dataValidation type="list" allowBlank="1" showErrorMessage="1" sqref="D2:D33">
      <formula1>"No,Si,Depende"</formula1>
    </dataValidation>
    <dataValidation type="list" allowBlank="1" showErrorMessage="1" sqref="D2:D28 D30:D52">
      <formula1>"No,Si,Depende"</formula1>
    </dataValidation>
  </dataValidations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8.5"/>
    <col customWidth="1" min="2" max="2" width="18.88"/>
    <col customWidth="1" min="3" max="3" width="15.0"/>
    <col customWidth="1" min="4" max="4" width="14.63"/>
    <col customWidth="1" min="5" max="5" width="14.5"/>
    <col customWidth="1" min="6" max="6" width="18.63"/>
    <col customWidth="1" min="7" max="7" width="12.38"/>
    <col customWidth="1" min="8" max="8" width="14.38"/>
    <col customWidth="1" min="9" max="9" width="15.88"/>
  </cols>
  <sheetData>
    <row r="1">
      <c r="A1" s="201" t="s">
        <v>423</v>
      </c>
      <c r="B1" s="201" t="s">
        <v>424</v>
      </c>
      <c r="C1" s="201" t="s">
        <v>425</v>
      </c>
      <c r="D1" s="201" t="s">
        <v>426</v>
      </c>
      <c r="E1" s="202" t="s">
        <v>427</v>
      </c>
      <c r="F1" s="201" t="s">
        <v>428</v>
      </c>
      <c r="G1" s="201" t="s">
        <v>4</v>
      </c>
      <c r="H1" s="201" t="s">
        <v>429</v>
      </c>
      <c r="I1" s="201" t="s">
        <v>430</v>
      </c>
      <c r="J1" s="201" t="s">
        <v>4</v>
      </c>
      <c r="K1" s="201" t="s">
        <v>431</v>
      </c>
      <c r="L1" s="201" t="s">
        <v>432</v>
      </c>
      <c r="M1" s="201" t="s">
        <v>433</v>
      </c>
      <c r="N1" s="201" t="s">
        <v>434</v>
      </c>
      <c r="O1" s="202" t="s">
        <v>435</v>
      </c>
      <c r="P1" s="202" t="s">
        <v>436</v>
      </c>
    </row>
    <row r="2">
      <c r="A2" s="4" t="s">
        <v>124</v>
      </c>
      <c r="B2" s="205" t="s">
        <v>128</v>
      </c>
      <c r="C2" s="204" t="s">
        <v>437</v>
      </c>
      <c r="D2" s="270">
        <v>1837.0</v>
      </c>
      <c r="F2" s="209" t="s">
        <v>135</v>
      </c>
      <c r="G2" s="271">
        <v>46039.0</v>
      </c>
      <c r="H2" s="4">
        <v>2117.0</v>
      </c>
      <c r="I2" s="209" t="s">
        <v>438</v>
      </c>
      <c r="J2" s="271">
        <v>46040.0</v>
      </c>
      <c r="K2" s="4">
        <v>2074.0</v>
      </c>
      <c r="L2" s="4">
        <v>0.0</v>
      </c>
      <c r="N2" s="210">
        <f t="shared" ref="N2:N3" si="1">H2+K2</f>
        <v>4191</v>
      </c>
    </row>
    <row r="3">
      <c r="A3" s="4" t="s">
        <v>125</v>
      </c>
      <c r="B3" s="205" t="s">
        <v>129</v>
      </c>
      <c r="C3" s="204" t="s">
        <v>437</v>
      </c>
      <c r="D3" s="270">
        <v>14100.0</v>
      </c>
      <c r="F3" s="209" t="s">
        <v>136</v>
      </c>
      <c r="G3" s="272">
        <v>46045.0</v>
      </c>
      <c r="H3" s="4">
        <v>1486.0</v>
      </c>
      <c r="L3" s="4">
        <v>1.0</v>
      </c>
      <c r="N3" s="210">
        <f t="shared" si="1"/>
        <v>1486</v>
      </c>
      <c r="O3" s="273"/>
    </row>
    <row r="4">
      <c r="A4" s="4" t="s">
        <v>439</v>
      </c>
      <c r="B4" s="205" t="s">
        <v>440</v>
      </c>
      <c r="C4" s="204" t="s">
        <v>437</v>
      </c>
      <c r="D4" s="4" t="s">
        <v>441</v>
      </c>
    </row>
    <row r="7">
      <c r="A7" s="239"/>
    </row>
    <row r="9">
      <c r="A9" s="274" t="s">
        <v>442</v>
      </c>
    </row>
    <row r="10">
      <c r="A10" s="201" t="s">
        <v>443</v>
      </c>
      <c r="B10" s="275" t="s">
        <v>444</v>
      </c>
      <c r="C10" s="275" t="s">
        <v>445</v>
      </c>
      <c r="D10" s="275" t="s">
        <v>446</v>
      </c>
      <c r="E10" s="276" t="s">
        <v>447</v>
      </c>
      <c r="F10" s="275" t="s">
        <v>448</v>
      </c>
      <c r="G10" s="277" t="s">
        <v>449</v>
      </c>
      <c r="H10" s="277" t="s">
        <v>450</v>
      </c>
      <c r="I10" s="277" t="s">
        <v>451</v>
      </c>
      <c r="M10" s="206"/>
    </row>
    <row r="11">
      <c r="A11" s="4" t="s">
        <v>124</v>
      </c>
      <c r="B11" s="209" t="s">
        <v>452</v>
      </c>
      <c r="C11" s="278" t="s">
        <v>453</v>
      </c>
      <c r="D11" s="209" t="s">
        <v>454</v>
      </c>
      <c r="E11" s="279"/>
    </row>
    <row r="12" ht="24.75" customHeight="1">
      <c r="A12" s="4" t="s">
        <v>125</v>
      </c>
    </row>
    <row r="13">
      <c r="A13" s="4" t="s">
        <v>455</v>
      </c>
    </row>
    <row r="18">
      <c r="A18" s="280"/>
    </row>
    <row r="20" ht="48.0" customHeight="1"/>
    <row r="24">
      <c r="A24" s="281" t="s">
        <v>443</v>
      </c>
      <c r="B24" s="281" t="s">
        <v>456</v>
      </c>
      <c r="C24" s="281" t="s">
        <v>457</v>
      </c>
      <c r="D24" s="281" t="s">
        <v>458</v>
      </c>
      <c r="E24" s="281" t="s">
        <v>459</v>
      </c>
    </row>
    <row r="25">
      <c r="A25" s="4" t="s">
        <v>124</v>
      </c>
      <c r="D25" s="4" t="s">
        <v>460</v>
      </c>
      <c r="E25" s="4" t="s">
        <v>461</v>
      </c>
    </row>
    <row r="26">
      <c r="A26" s="4" t="s">
        <v>125</v>
      </c>
      <c r="D26" s="4" t="s">
        <v>460</v>
      </c>
      <c r="E26" s="4" t="s">
        <v>461</v>
      </c>
    </row>
    <row r="27">
      <c r="A27" s="4" t="s">
        <v>455</v>
      </c>
      <c r="D27" s="4" t="s">
        <v>460</v>
      </c>
      <c r="E27" s="4" t="s">
        <v>461</v>
      </c>
    </row>
  </sheetData>
  <hyperlinks>
    <hyperlink r:id="rId1" ref="B2"/>
    <hyperlink r:id="rId2" ref="F2"/>
    <hyperlink r:id="rId3" ref="I2"/>
    <hyperlink r:id="rId4" ref="B3"/>
    <hyperlink r:id="rId5" ref="F3"/>
    <hyperlink r:id="rId6" ref="B4"/>
    <hyperlink r:id="rId7" ref="B11"/>
    <hyperlink r:id="rId8" ref="C11"/>
    <hyperlink r:id="rId9" ref="D11"/>
  </hyperlinks>
  <drawing r:id="rId1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outlinePr summaryBelow="0" summaryRight="0"/>
  </sheetPr>
  <sheetViews>
    <sheetView workbookViewId="0"/>
  </sheetViews>
  <sheetFormatPr customHeight="1" defaultColWidth="12.63" defaultRowHeight="15.75"/>
  <cols>
    <col customWidth="1" min="1" max="1" width="50.13"/>
    <col customWidth="1" min="2" max="2" width="56.25"/>
    <col customWidth="1" min="3" max="3" width="35.5"/>
  </cols>
  <sheetData>
    <row r="1">
      <c r="A1" s="282" t="s">
        <v>462</v>
      </c>
      <c r="B1" s="282" t="s">
        <v>463</v>
      </c>
      <c r="C1" s="282" t="s">
        <v>464</v>
      </c>
    </row>
    <row r="2">
      <c r="A2" s="4" t="s">
        <v>465</v>
      </c>
      <c r="B2" s="4" t="s">
        <v>466</v>
      </c>
      <c r="C2" s="283"/>
    </row>
    <row r="3">
      <c r="A3" s="4" t="s">
        <v>467</v>
      </c>
      <c r="B3" s="4" t="s">
        <v>468</v>
      </c>
      <c r="C3" s="284"/>
    </row>
    <row r="4">
      <c r="A4" s="4" t="s">
        <v>469</v>
      </c>
      <c r="B4" s="4" t="s">
        <v>470</v>
      </c>
      <c r="C4" s="284" t="s">
        <v>471</v>
      </c>
    </row>
    <row r="5" ht="28.5" customHeight="1">
      <c r="A5" s="4" t="s">
        <v>472</v>
      </c>
      <c r="B5" s="4"/>
      <c r="C5" s="244"/>
    </row>
    <row r="6">
      <c r="A6" s="4" t="s">
        <v>473</v>
      </c>
      <c r="B6" s="4" t="s">
        <v>474</v>
      </c>
      <c r="C6" s="283"/>
    </row>
    <row r="7">
      <c r="A7" s="4" t="s">
        <v>475</v>
      </c>
      <c r="B7" s="4" t="s">
        <v>476</v>
      </c>
      <c r="C7" s="283"/>
    </row>
    <row r="8">
      <c r="A8" s="4" t="s">
        <v>477</v>
      </c>
      <c r="B8" s="4" t="s">
        <v>478</v>
      </c>
      <c r="C8" s="284" t="s">
        <v>479</v>
      </c>
    </row>
    <row r="9">
      <c r="A9" s="4" t="s">
        <v>480</v>
      </c>
      <c r="B9" s="4" t="s">
        <v>481</v>
      </c>
      <c r="C9" s="284"/>
    </row>
    <row r="10">
      <c r="A10" s="285" t="s">
        <v>482</v>
      </c>
      <c r="B10" s="204" t="s">
        <v>483</v>
      </c>
      <c r="C10" s="284" t="s">
        <v>484</v>
      </c>
    </row>
    <row r="11" ht="33.0" customHeight="1">
      <c r="A11" s="4" t="s">
        <v>485</v>
      </c>
      <c r="B11" s="4"/>
      <c r="C11" s="284" t="s">
        <v>484</v>
      </c>
    </row>
    <row r="12" ht="37.5" customHeight="1">
      <c r="A12" s="4" t="s">
        <v>486</v>
      </c>
      <c r="B12" s="4" t="s">
        <v>487</v>
      </c>
      <c r="C12" s="284" t="s">
        <v>488</v>
      </c>
    </row>
    <row r="13" ht="292.5" customHeight="1">
      <c r="A13" s="273"/>
      <c r="B13" s="244" t="s">
        <v>489</v>
      </c>
      <c r="C13" s="284" t="s">
        <v>490</v>
      </c>
    </row>
    <row r="14">
      <c r="C14" s="283"/>
    </row>
    <row r="15">
      <c r="C15" s="283"/>
    </row>
    <row r="16">
      <c r="C16" s="283"/>
    </row>
    <row r="17">
      <c r="C17" s="283"/>
    </row>
    <row r="18">
      <c r="C18" s="283"/>
    </row>
    <row r="19">
      <c r="C19" s="283"/>
    </row>
    <row r="20">
      <c r="C20" s="283"/>
    </row>
    <row r="21">
      <c r="C21" s="283"/>
    </row>
    <row r="22">
      <c r="C22" s="283"/>
    </row>
    <row r="23">
      <c r="C23" s="283"/>
    </row>
    <row r="24">
      <c r="C24" s="283"/>
    </row>
    <row r="25">
      <c r="C25" s="283"/>
    </row>
    <row r="26">
      <c r="C26" s="283"/>
    </row>
    <row r="27">
      <c r="C27" s="283"/>
    </row>
    <row r="28">
      <c r="C28" s="283"/>
    </row>
    <row r="29">
      <c r="C29" s="283"/>
    </row>
    <row r="30">
      <c r="C30" s="283"/>
    </row>
    <row r="31">
      <c r="C31" s="283"/>
    </row>
    <row r="32">
      <c r="C32" s="283"/>
    </row>
    <row r="33">
      <c r="C33" s="283"/>
    </row>
    <row r="34">
      <c r="C34" s="283"/>
    </row>
    <row r="35">
      <c r="C35" s="283"/>
    </row>
    <row r="36">
      <c r="C36" s="283"/>
    </row>
    <row r="37">
      <c r="C37" s="283"/>
    </row>
    <row r="38">
      <c r="C38" s="283"/>
    </row>
    <row r="39">
      <c r="C39" s="283"/>
    </row>
    <row r="40">
      <c r="C40" s="283"/>
    </row>
    <row r="41">
      <c r="C41" s="283"/>
    </row>
    <row r="42">
      <c r="C42" s="283"/>
    </row>
    <row r="43">
      <c r="C43" s="283"/>
    </row>
    <row r="44">
      <c r="C44" s="283"/>
    </row>
    <row r="45">
      <c r="C45" s="283"/>
    </row>
    <row r="46">
      <c r="C46" s="283"/>
    </row>
    <row r="47">
      <c r="C47" s="283"/>
    </row>
    <row r="48">
      <c r="C48" s="283"/>
    </row>
    <row r="49">
      <c r="C49" s="283"/>
    </row>
    <row r="50">
      <c r="C50" s="283"/>
    </row>
    <row r="51">
      <c r="C51" s="283"/>
    </row>
    <row r="52">
      <c r="C52" s="283"/>
    </row>
    <row r="53">
      <c r="C53" s="283"/>
    </row>
    <row r="54">
      <c r="C54" s="283"/>
    </row>
    <row r="55">
      <c r="C55" s="283"/>
    </row>
    <row r="56">
      <c r="C56" s="283"/>
    </row>
    <row r="57">
      <c r="C57" s="283"/>
    </row>
    <row r="58">
      <c r="C58" s="283"/>
    </row>
    <row r="59">
      <c r="C59" s="283"/>
    </row>
    <row r="60">
      <c r="C60" s="283"/>
    </row>
    <row r="61">
      <c r="C61" s="283"/>
    </row>
    <row r="62">
      <c r="C62" s="283"/>
    </row>
    <row r="63">
      <c r="C63" s="283"/>
    </row>
    <row r="64">
      <c r="C64" s="283"/>
    </row>
    <row r="65">
      <c r="C65" s="283"/>
    </row>
    <row r="66">
      <c r="C66" s="283"/>
    </row>
    <row r="67">
      <c r="C67" s="283"/>
    </row>
    <row r="68">
      <c r="C68" s="283"/>
    </row>
    <row r="69">
      <c r="C69" s="283"/>
    </row>
    <row r="70">
      <c r="C70" s="283"/>
    </row>
    <row r="71">
      <c r="C71" s="283"/>
    </row>
    <row r="72">
      <c r="C72" s="283"/>
    </row>
    <row r="73">
      <c r="C73" s="283"/>
    </row>
    <row r="74">
      <c r="C74" s="283"/>
    </row>
    <row r="75">
      <c r="C75" s="283"/>
    </row>
    <row r="76">
      <c r="C76" s="283"/>
    </row>
    <row r="77">
      <c r="C77" s="283"/>
    </row>
    <row r="78">
      <c r="C78" s="283"/>
    </row>
    <row r="79">
      <c r="C79" s="283"/>
    </row>
    <row r="80">
      <c r="C80" s="283"/>
    </row>
    <row r="81">
      <c r="C81" s="283"/>
    </row>
    <row r="82">
      <c r="C82" s="283"/>
    </row>
    <row r="83">
      <c r="C83" s="283"/>
    </row>
    <row r="84">
      <c r="C84" s="283"/>
    </row>
    <row r="85">
      <c r="C85" s="283"/>
    </row>
    <row r="86">
      <c r="C86" s="283"/>
    </row>
    <row r="87">
      <c r="C87" s="283"/>
    </row>
    <row r="88">
      <c r="C88" s="283"/>
    </row>
    <row r="89">
      <c r="C89" s="283"/>
    </row>
    <row r="90">
      <c r="C90" s="283"/>
    </row>
    <row r="91">
      <c r="C91" s="283"/>
    </row>
    <row r="92">
      <c r="C92" s="283"/>
    </row>
    <row r="93">
      <c r="C93" s="283"/>
    </row>
    <row r="94">
      <c r="C94" s="283"/>
    </row>
    <row r="95">
      <c r="C95" s="283"/>
    </row>
    <row r="96">
      <c r="C96" s="283"/>
    </row>
    <row r="97">
      <c r="C97" s="283"/>
    </row>
    <row r="98">
      <c r="C98" s="283"/>
    </row>
    <row r="99">
      <c r="C99" s="283"/>
    </row>
    <row r="100">
      <c r="C100" s="283"/>
    </row>
    <row r="101">
      <c r="C101" s="283"/>
    </row>
    <row r="102">
      <c r="C102" s="283"/>
    </row>
    <row r="103">
      <c r="C103" s="283"/>
    </row>
    <row r="104">
      <c r="C104" s="283"/>
    </row>
    <row r="105">
      <c r="C105" s="283"/>
    </row>
    <row r="106">
      <c r="C106" s="283"/>
    </row>
    <row r="107">
      <c r="C107" s="283"/>
    </row>
    <row r="108">
      <c r="C108" s="283"/>
    </row>
    <row r="109">
      <c r="C109" s="283"/>
    </row>
    <row r="110">
      <c r="C110" s="283"/>
    </row>
    <row r="111">
      <c r="C111" s="283"/>
    </row>
    <row r="112">
      <c r="C112" s="283"/>
    </row>
    <row r="113">
      <c r="C113" s="283"/>
    </row>
    <row r="114">
      <c r="C114" s="283"/>
    </row>
    <row r="115">
      <c r="C115" s="283"/>
    </row>
    <row r="116">
      <c r="C116" s="283"/>
    </row>
    <row r="117">
      <c r="C117" s="283"/>
    </row>
    <row r="118">
      <c r="C118" s="283"/>
    </row>
    <row r="119">
      <c r="C119" s="283"/>
    </row>
    <row r="120">
      <c r="C120" s="283"/>
    </row>
    <row r="121">
      <c r="C121" s="283"/>
    </row>
    <row r="122">
      <c r="C122" s="283"/>
    </row>
    <row r="123">
      <c r="C123" s="283"/>
    </row>
    <row r="124">
      <c r="C124" s="283"/>
    </row>
    <row r="125">
      <c r="C125" s="283"/>
    </row>
    <row r="126">
      <c r="C126" s="283"/>
    </row>
    <row r="127">
      <c r="C127" s="283"/>
    </row>
    <row r="128">
      <c r="C128" s="283"/>
    </row>
    <row r="129">
      <c r="C129" s="283"/>
    </row>
    <row r="130">
      <c r="C130" s="283"/>
    </row>
    <row r="131">
      <c r="C131" s="283"/>
    </row>
    <row r="132">
      <c r="C132" s="283"/>
    </row>
    <row r="133">
      <c r="C133" s="283"/>
    </row>
    <row r="134">
      <c r="C134" s="283"/>
    </row>
    <row r="135">
      <c r="C135" s="283"/>
    </row>
    <row r="136">
      <c r="C136" s="283"/>
    </row>
    <row r="137">
      <c r="C137" s="283"/>
    </row>
    <row r="138">
      <c r="C138" s="283"/>
    </row>
    <row r="139">
      <c r="C139" s="283"/>
    </row>
    <row r="140">
      <c r="C140" s="283"/>
    </row>
    <row r="141">
      <c r="C141" s="283"/>
    </row>
    <row r="142">
      <c r="C142" s="283"/>
    </row>
    <row r="143">
      <c r="C143" s="283"/>
    </row>
    <row r="144">
      <c r="C144" s="283"/>
    </row>
    <row r="145">
      <c r="C145" s="283"/>
    </row>
    <row r="146">
      <c r="C146" s="283"/>
    </row>
    <row r="147">
      <c r="C147" s="283"/>
    </row>
    <row r="148">
      <c r="C148" s="283"/>
    </row>
    <row r="149">
      <c r="C149" s="283"/>
    </row>
    <row r="150">
      <c r="C150" s="283"/>
    </row>
    <row r="151">
      <c r="C151" s="283"/>
    </row>
    <row r="152">
      <c r="C152" s="283"/>
    </row>
    <row r="153">
      <c r="C153" s="283"/>
    </row>
    <row r="154">
      <c r="C154" s="283"/>
    </row>
    <row r="155">
      <c r="C155" s="283"/>
    </row>
    <row r="156">
      <c r="C156" s="283"/>
    </row>
    <row r="157">
      <c r="C157" s="283"/>
    </row>
    <row r="158">
      <c r="C158" s="283"/>
    </row>
    <row r="159">
      <c r="C159" s="283"/>
    </row>
    <row r="160">
      <c r="C160" s="283"/>
    </row>
    <row r="161">
      <c r="C161" s="283"/>
    </row>
    <row r="162">
      <c r="C162" s="283"/>
    </row>
    <row r="163">
      <c r="C163" s="283"/>
    </row>
    <row r="164">
      <c r="C164" s="283"/>
    </row>
    <row r="165">
      <c r="C165" s="283"/>
    </row>
    <row r="166">
      <c r="C166" s="283"/>
    </row>
    <row r="167">
      <c r="C167" s="283"/>
    </row>
    <row r="168">
      <c r="C168" s="283"/>
    </row>
    <row r="169">
      <c r="C169" s="283"/>
    </row>
    <row r="170">
      <c r="C170" s="283"/>
    </row>
    <row r="171">
      <c r="C171" s="283"/>
    </row>
    <row r="172">
      <c r="C172" s="283"/>
    </row>
    <row r="173">
      <c r="C173" s="283"/>
    </row>
    <row r="174">
      <c r="C174" s="283"/>
    </row>
    <row r="175">
      <c r="C175" s="283"/>
    </row>
    <row r="176">
      <c r="C176" s="283"/>
    </row>
    <row r="177">
      <c r="C177" s="283"/>
    </row>
    <row r="178">
      <c r="C178" s="283"/>
    </row>
    <row r="179">
      <c r="C179" s="283"/>
    </row>
    <row r="180">
      <c r="C180" s="283"/>
    </row>
    <row r="181">
      <c r="C181" s="283"/>
    </row>
    <row r="182">
      <c r="C182" s="283"/>
    </row>
    <row r="183">
      <c r="C183" s="283"/>
    </row>
    <row r="184">
      <c r="C184" s="283"/>
    </row>
    <row r="185">
      <c r="C185" s="283"/>
    </row>
    <row r="186">
      <c r="C186" s="283"/>
    </row>
    <row r="187">
      <c r="C187" s="283"/>
    </row>
    <row r="188">
      <c r="C188" s="283"/>
    </row>
    <row r="189">
      <c r="C189" s="283"/>
    </row>
    <row r="190">
      <c r="C190" s="283"/>
    </row>
    <row r="191">
      <c r="C191" s="283"/>
    </row>
    <row r="192">
      <c r="C192" s="283"/>
    </row>
    <row r="193">
      <c r="C193" s="283"/>
    </row>
    <row r="194">
      <c r="C194" s="283"/>
    </row>
    <row r="195">
      <c r="C195" s="283"/>
    </row>
    <row r="196">
      <c r="C196" s="283"/>
    </row>
    <row r="197">
      <c r="C197" s="283"/>
    </row>
    <row r="198">
      <c r="C198" s="283"/>
    </row>
    <row r="199">
      <c r="C199" s="283"/>
    </row>
    <row r="200">
      <c r="C200" s="283"/>
    </row>
    <row r="201">
      <c r="C201" s="283"/>
    </row>
    <row r="202">
      <c r="C202" s="283"/>
    </row>
    <row r="203">
      <c r="C203" s="283"/>
    </row>
    <row r="204">
      <c r="C204" s="283"/>
    </row>
    <row r="205">
      <c r="C205" s="283"/>
    </row>
    <row r="206">
      <c r="C206" s="283"/>
    </row>
    <row r="207">
      <c r="C207" s="283"/>
    </row>
    <row r="208">
      <c r="C208" s="283"/>
    </row>
    <row r="209">
      <c r="C209" s="283"/>
    </row>
    <row r="210">
      <c r="C210" s="283"/>
    </row>
    <row r="211">
      <c r="C211" s="283"/>
    </row>
    <row r="212">
      <c r="C212" s="283"/>
    </row>
    <row r="213">
      <c r="C213" s="283"/>
    </row>
    <row r="214">
      <c r="C214" s="283"/>
    </row>
    <row r="215">
      <c r="C215" s="283"/>
    </row>
    <row r="216">
      <c r="C216" s="283"/>
    </row>
    <row r="217">
      <c r="C217" s="283"/>
    </row>
    <row r="218">
      <c r="C218" s="283"/>
    </row>
    <row r="219">
      <c r="C219" s="283"/>
    </row>
    <row r="220">
      <c r="C220" s="283"/>
    </row>
    <row r="221">
      <c r="C221" s="283"/>
    </row>
    <row r="222">
      <c r="C222" s="283"/>
    </row>
    <row r="223">
      <c r="C223" s="283"/>
    </row>
    <row r="224">
      <c r="C224" s="283"/>
    </row>
    <row r="225">
      <c r="C225" s="283"/>
    </row>
    <row r="226">
      <c r="C226" s="283"/>
    </row>
    <row r="227">
      <c r="C227" s="283"/>
    </row>
    <row r="228">
      <c r="C228" s="283"/>
    </row>
    <row r="229">
      <c r="C229" s="283"/>
    </row>
    <row r="230">
      <c r="C230" s="283"/>
    </row>
    <row r="231">
      <c r="C231" s="283"/>
    </row>
    <row r="232">
      <c r="C232" s="283"/>
    </row>
    <row r="233">
      <c r="C233" s="283"/>
    </row>
    <row r="234">
      <c r="C234" s="283"/>
    </row>
    <row r="235">
      <c r="C235" s="283"/>
    </row>
    <row r="236">
      <c r="C236" s="283"/>
    </row>
    <row r="237">
      <c r="C237" s="283"/>
    </row>
    <row r="238">
      <c r="C238" s="283"/>
    </row>
    <row r="239">
      <c r="C239" s="283"/>
    </row>
    <row r="240">
      <c r="C240" s="283"/>
    </row>
    <row r="241">
      <c r="C241" s="283"/>
    </row>
    <row r="242">
      <c r="C242" s="283"/>
    </row>
    <row r="243">
      <c r="C243" s="283"/>
    </row>
    <row r="244">
      <c r="C244" s="283"/>
    </row>
    <row r="245">
      <c r="C245" s="283"/>
    </row>
    <row r="246">
      <c r="C246" s="283"/>
    </row>
    <row r="247">
      <c r="C247" s="283"/>
    </row>
    <row r="248">
      <c r="C248" s="283"/>
    </row>
    <row r="249">
      <c r="C249" s="283"/>
    </row>
    <row r="250">
      <c r="C250" s="283"/>
    </row>
    <row r="251">
      <c r="C251" s="283"/>
    </row>
    <row r="252">
      <c r="C252" s="283"/>
    </row>
    <row r="253">
      <c r="C253" s="283"/>
    </row>
    <row r="254">
      <c r="C254" s="283"/>
    </row>
    <row r="255">
      <c r="C255" s="283"/>
    </row>
    <row r="256">
      <c r="C256" s="283"/>
    </row>
    <row r="257">
      <c r="C257" s="283"/>
    </row>
    <row r="258">
      <c r="C258" s="283"/>
    </row>
    <row r="259">
      <c r="C259" s="283"/>
    </row>
    <row r="260">
      <c r="C260" s="283"/>
    </row>
    <row r="261">
      <c r="C261" s="283"/>
    </row>
    <row r="262">
      <c r="C262" s="283"/>
    </row>
    <row r="263">
      <c r="C263" s="283"/>
    </row>
    <row r="264">
      <c r="C264" s="283"/>
    </row>
    <row r="265">
      <c r="C265" s="283"/>
    </row>
    <row r="266">
      <c r="C266" s="283"/>
    </row>
    <row r="267">
      <c r="C267" s="283"/>
    </row>
    <row r="268">
      <c r="C268" s="283"/>
    </row>
    <row r="269">
      <c r="C269" s="283"/>
    </row>
    <row r="270">
      <c r="C270" s="283"/>
    </row>
    <row r="271">
      <c r="C271" s="283"/>
    </row>
    <row r="272">
      <c r="C272" s="283"/>
    </row>
    <row r="273">
      <c r="C273" s="283"/>
    </row>
    <row r="274">
      <c r="C274" s="283"/>
    </row>
    <row r="275">
      <c r="C275" s="283"/>
    </row>
    <row r="276">
      <c r="C276" s="283"/>
    </row>
    <row r="277">
      <c r="C277" s="283"/>
    </row>
    <row r="278">
      <c r="C278" s="283"/>
    </row>
    <row r="279">
      <c r="C279" s="283"/>
    </row>
    <row r="280">
      <c r="C280" s="283"/>
    </row>
    <row r="281">
      <c r="C281" s="283"/>
    </row>
    <row r="282">
      <c r="C282" s="283"/>
    </row>
    <row r="283">
      <c r="C283" s="283"/>
    </row>
    <row r="284">
      <c r="C284" s="283"/>
    </row>
    <row r="285">
      <c r="C285" s="283"/>
    </row>
    <row r="286">
      <c r="C286" s="283"/>
    </row>
    <row r="287">
      <c r="C287" s="283"/>
    </row>
    <row r="288">
      <c r="C288" s="283"/>
    </row>
    <row r="289">
      <c r="C289" s="283"/>
    </row>
    <row r="290">
      <c r="C290" s="283"/>
    </row>
    <row r="291">
      <c r="C291" s="283"/>
    </row>
    <row r="292">
      <c r="C292" s="283"/>
    </row>
    <row r="293">
      <c r="C293" s="283"/>
    </row>
    <row r="294">
      <c r="C294" s="283"/>
    </row>
    <row r="295">
      <c r="C295" s="283"/>
    </row>
    <row r="296">
      <c r="C296" s="283"/>
    </row>
    <row r="297">
      <c r="C297" s="283"/>
    </row>
    <row r="298">
      <c r="C298" s="283"/>
    </row>
    <row r="299">
      <c r="C299" s="283"/>
    </row>
    <row r="300">
      <c r="C300" s="283"/>
    </row>
    <row r="301">
      <c r="C301" s="283"/>
    </row>
    <row r="302">
      <c r="C302" s="283"/>
    </row>
    <row r="303">
      <c r="C303" s="283"/>
    </row>
    <row r="304">
      <c r="C304" s="283"/>
    </row>
    <row r="305">
      <c r="C305" s="283"/>
    </row>
    <row r="306">
      <c r="C306" s="283"/>
    </row>
    <row r="307">
      <c r="C307" s="283"/>
    </row>
    <row r="308">
      <c r="C308" s="283"/>
    </row>
    <row r="309">
      <c r="C309" s="283"/>
    </row>
    <row r="310">
      <c r="C310" s="283"/>
    </row>
    <row r="311">
      <c r="C311" s="283"/>
    </row>
    <row r="312">
      <c r="C312" s="283"/>
    </row>
    <row r="313">
      <c r="C313" s="283"/>
    </row>
    <row r="314">
      <c r="C314" s="283"/>
    </row>
    <row r="315">
      <c r="C315" s="283"/>
    </row>
    <row r="316">
      <c r="C316" s="283"/>
    </row>
    <row r="317">
      <c r="C317" s="283"/>
    </row>
    <row r="318">
      <c r="C318" s="283"/>
    </row>
    <row r="319">
      <c r="C319" s="283"/>
    </row>
    <row r="320">
      <c r="C320" s="283"/>
    </row>
    <row r="321">
      <c r="C321" s="283"/>
    </row>
    <row r="322">
      <c r="C322" s="283"/>
    </row>
    <row r="323">
      <c r="C323" s="283"/>
    </row>
    <row r="324">
      <c r="C324" s="283"/>
    </row>
    <row r="325">
      <c r="C325" s="283"/>
    </row>
    <row r="326">
      <c r="C326" s="283"/>
    </row>
    <row r="327">
      <c r="C327" s="283"/>
    </row>
    <row r="328">
      <c r="C328" s="283"/>
    </row>
    <row r="329">
      <c r="C329" s="283"/>
    </row>
    <row r="330">
      <c r="C330" s="283"/>
    </row>
    <row r="331">
      <c r="C331" s="283"/>
    </row>
    <row r="332">
      <c r="C332" s="283"/>
    </row>
    <row r="333">
      <c r="C333" s="283"/>
    </row>
    <row r="334">
      <c r="C334" s="283"/>
    </row>
    <row r="335">
      <c r="C335" s="283"/>
    </row>
    <row r="336">
      <c r="C336" s="283"/>
    </row>
    <row r="337">
      <c r="C337" s="283"/>
    </row>
    <row r="338">
      <c r="C338" s="283"/>
    </row>
    <row r="339">
      <c r="C339" s="283"/>
    </row>
    <row r="340">
      <c r="C340" s="283"/>
    </row>
    <row r="341">
      <c r="C341" s="283"/>
    </row>
    <row r="342">
      <c r="C342" s="283"/>
    </row>
    <row r="343">
      <c r="C343" s="283"/>
    </row>
    <row r="344">
      <c r="C344" s="283"/>
    </row>
    <row r="345">
      <c r="C345" s="283"/>
    </row>
    <row r="346">
      <c r="C346" s="283"/>
    </row>
    <row r="347">
      <c r="C347" s="283"/>
    </row>
    <row r="348">
      <c r="C348" s="283"/>
    </row>
    <row r="349">
      <c r="C349" s="283"/>
    </row>
    <row r="350">
      <c r="C350" s="283"/>
    </row>
    <row r="351">
      <c r="C351" s="283"/>
    </row>
    <row r="352">
      <c r="C352" s="283"/>
    </row>
    <row r="353">
      <c r="C353" s="283"/>
    </row>
    <row r="354">
      <c r="C354" s="283"/>
    </row>
    <row r="355">
      <c r="C355" s="283"/>
    </row>
    <row r="356">
      <c r="C356" s="283"/>
    </row>
    <row r="357">
      <c r="C357" s="283"/>
    </row>
    <row r="358">
      <c r="C358" s="283"/>
    </row>
    <row r="359">
      <c r="C359" s="283"/>
    </row>
    <row r="360">
      <c r="C360" s="283"/>
    </row>
    <row r="361">
      <c r="C361" s="283"/>
    </row>
    <row r="362">
      <c r="C362" s="283"/>
    </row>
    <row r="363">
      <c r="C363" s="283"/>
    </row>
    <row r="364">
      <c r="C364" s="283"/>
    </row>
    <row r="365">
      <c r="C365" s="283"/>
    </row>
    <row r="366">
      <c r="C366" s="283"/>
    </row>
    <row r="367">
      <c r="C367" s="283"/>
    </row>
    <row r="368">
      <c r="C368" s="283"/>
    </row>
    <row r="369">
      <c r="C369" s="283"/>
    </row>
    <row r="370">
      <c r="C370" s="283"/>
    </row>
    <row r="371">
      <c r="C371" s="283"/>
    </row>
    <row r="372">
      <c r="C372" s="283"/>
    </row>
    <row r="373">
      <c r="C373" s="283"/>
    </row>
    <row r="374">
      <c r="C374" s="283"/>
    </row>
    <row r="375">
      <c r="C375" s="283"/>
    </row>
    <row r="376">
      <c r="C376" s="283"/>
    </row>
    <row r="377">
      <c r="C377" s="283"/>
    </row>
    <row r="378">
      <c r="C378" s="283"/>
    </row>
    <row r="379">
      <c r="C379" s="283"/>
    </row>
    <row r="380">
      <c r="C380" s="283"/>
    </row>
    <row r="381">
      <c r="C381" s="283"/>
    </row>
    <row r="382">
      <c r="C382" s="283"/>
    </row>
    <row r="383">
      <c r="C383" s="283"/>
    </row>
    <row r="384">
      <c r="C384" s="283"/>
    </row>
    <row r="385">
      <c r="C385" s="283"/>
    </row>
    <row r="386">
      <c r="C386" s="283"/>
    </row>
    <row r="387">
      <c r="C387" s="283"/>
    </row>
    <row r="388">
      <c r="C388" s="283"/>
    </row>
    <row r="389">
      <c r="C389" s="283"/>
    </row>
    <row r="390">
      <c r="C390" s="283"/>
    </row>
    <row r="391">
      <c r="C391" s="283"/>
    </row>
    <row r="392">
      <c r="C392" s="283"/>
    </row>
    <row r="393">
      <c r="C393" s="283"/>
    </row>
    <row r="394">
      <c r="C394" s="283"/>
    </row>
    <row r="395">
      <c r="C395" s="283"/>
    </row>
    <row r="396">
      <c r="C396" s="283"/>
    </row>
    <row r="397">
      <c r="C397" s="283"/>
    </row>
    <row r="398">
      <c r="C398" s="283"/>
    </row>
    <row r="399">
      <c r="C399" s="283"/>
    </row>
    <row r="400">
      <c r="C400" s="283"/>
    </row>
    <row r="401">
      <c r="C401" s="283"/>
    </row>
    <row r="402">
      <c r="C402" s="283"/>
    </row>
    <row r="403">
      <c r="C403" s="283"/>
    </row>
    <row r="404">
      <c r="C404" s="283"/>
    </row>
    <row r="405">
      <c r="C405" s="283"/>
    </row>
    <row r="406">
      <c r="C406" s="283"/>
    </row>
    <row r="407">
      <c r="C407" s="283"/>
    </row>
    <row r="408">
      <c r="C408" s="283"/>
    </row>
    <row r="409">
      <c r="C409" s="283"/>
    </row>
    <row r="410">
      <c r="C410" s="283"/>
    </row>
    <row r="411">
      <c r="C411" s="283"/>
    </row>
    <row r="412">
      <c r="C412" s="283"/>
    </row>
    <row r="413">
      <c r="C413" s="283"/>
    </row>
    <row r="414">
      <c r="C414" s="283"/>
    </row>
    <row r="415">
      <c r="C415" s="283"/>
    </row>
    <row r="416">
      <c r="C416" s="283"/>
    </row>
    <row r="417">
      <c r="C417" s="283"/>
    </row>
    <row r="418">
      <c r="C418" s="283"/>
    </row>
    <row r="419">
      <c r="C419" s="283"/>
    </row>
    <row r="420">
      <c r="C420" s="283"/>
    </row>
    <row r="421">
      <c r="C421" s="283"/>
    </row>
    <row r="422">
      <c r="C422" s="283"/>
    </row>
    <row r="423">
      <c r="C423" s="283"/>
    </row>
    <row r="424">
      <c r="C424" s="283"/>
    </row>
    <row r="425">
      <c r="C425" s="283"/>
    </row>
    <row r="426">
      <c r="C426" s="283"/>
    </row>
    <row r="427">
      <c r="C427" s="283"/>
    </row>
    <row r="428">
      <c r="C428" s="283"/>
    </row>
    <row r="429">
      <c r="C429" s="283"/>
    </row>
    <row r="430">
      <c r="C430" s="283"/>
    </row>
    <row r="431">
      <c r="C431" s="283"/>
    </row>
    <row r="432">
      <c r="C432" s="283"/>
    </row>
    <row r="433">
      <c r="C433" s="283"/>
    </row>
    <row r="434">
      <c r="C434" s="283"/>
    </row>
    <row r="435">
      <c r="C435" s="283"/>
    </row>
    <row r="436">
      <c r="C436" s="283"/>
    </row>
    <row r="437">
      <c r="C437" s="283"/>
    </row>
    <row r="438">
      <c r="C438" s="283"/>
    </row>
    <row r="439">
      <c r="C439" s="283"/>
    </row>
    <row r="440">
      <c r="C440" s="283"/>
    </row>
    <row r="441">
      <c r="C441" s="283"/>
    </row>
    <row r="442">
      <c r="C442" s="283"/>
    </row>
    <row r="443">
      <c r="C443" s="283"/>
    </row>
    <row r="444">
      <c r="C444" s="283"/>
    </row>
    <row r="445">
      <c r="C445" s="283"/>
    </row>
    <row r="446">
      <c r="C446" s="283"/>
    </row>
    <row r="447">
      <c r="C447" s="283"/>
    </row>
    <row r="448">
      <c r="C448" s="283"/>
    </row>
    <row r="449">
      <c r="C449" s="283"/>
    </row>
    <row r="450">
      <c r="C450" s="283"/>
    </row>
    <row r="451">
      <c r="C451" s="283"/>
    </row>
    <row r="452">
      <c r="C452" s="283"/>
    </row>
    <row r="453">
      <c r="C453" s="283"/>
    </row>
    <row r="454">
      <c r="C454" s="283"/>
    </row>
    <row r="455">
      <c r="C455" s="283"/>
    </row>
    <row r="456">
      <c r="C456" s="283"/>
    </row>
    <row r="457">
      <c r="C457" s="283"/>
    </row>
    <row r="458">
      <c r="C458" s="283"/>
    </row>
    <row r="459">
      <c r="C459" s="283"/>
    </row>
    <row r="460">
      <c r="C460" s="283"/>
    </row>
    <row r="461">
      <c r="C461" s="283"/>
    </row>
    <row r="462">
      <c r="C462" s="283"/>
    </row>
    <row r="463">
      <c r="C463" s="283"/>
    </row>
    <row r="464">
      <c r="C464" s="283"/>
    </row>
    <row r="465">
      <c r="C465" s="283"/>
    </row>
    <row r="466">
      <c r="C466" s="283"/>
    </row>
    <row r="467">
      <c r="C467" s="283"/>
    </row>
    <row r="468">
      <c r="C468" s="283"/>
    </row>
    <row r="469">
      <c r="C469" s="283"/>
    </row>
    <row r="470">
      <c r="C470" s="283"/>
    </row>
    <row r="471">
      <c r="C471" s="283"/>
    </row>
    <row r="472">
      <c r="C472" s="283"/>
    </row>
    <row r="473">
      <c r="C473" s="283"/>
    </row>
    <row r="474">
      <c r="C474" s="283"/>
    </row>
    <row r="475">
      <c r="C475" s="283"/>
    </row>
    <row r="476">
      <c r="C476" s="283"/>
    </row>
    <row r="477">
      <c r="C477" s="283"/>
    </row>
    <row r="478">
      <c r="C478" s="283"/>
    </row>
    <row r="479">
      <c r="C479" s="283"/>
    </row>
    <row r="480">
      <c r="C480" s="283"/>
    </row>
    <row r="481">
      <c r="C481" s="283"/>
    </row>
    <row r="482">
      <c r="C482" s="283"/>
    </row>
    <row r="483">
      <c r="C483" s="283"/>
    </row>
    <row r="484">
      <c r="C484" s="283"/>
    </row>
    <row r="485">
      <c r="C485" s="283"/>
    </row>
    <row r="486">
      <c r="C486" s="283"/>
    </row>
    <row r="487">
      <c r="C487" s="283"/>
    </row>
    <row r="488">
      <c r="C488" s="283"/>
    </row>
    <row r="489">
      <c r="C489" s="283"/>
    </row>
    <row r="490">
      <c r="C490" s="283"/>
    </row>
    <row r="491">
      <c r="C491" s="283"/>
    </row>
    <row r="492">
      <c r="C492" s="283"/>
    </row>
    <row r="493">
      <c r="C493" s="283"/>
    </row>
    <row r="494">
      <c r="C494" s="283"/>
    </row>
    <row r="495">
      <c r="C495" s="283"/>
    </row>
    <row r="496">
      <c r="C496" s="283"/>
    </row>
    <row r="497">
      <c r="C497" s="283"/>
    </row>
    <row r="498">
      <c r="C498" s="283"/>
    </row>
    <row r="499">
      <c r="C499" s="283"/>
    </row>
    <row r="500">
      <c r="C500" s="283"/>
    </row>
    <row r="501">
      <c r="C501" s="283"/>
    </row>
    <row r="502">
      <c r="C502" s="283"/>
    </row>
    <row r="503">
      <c r="C503" s="283"/>
    </row>
    <row r="504">
      <c r="C504" s="283"/>
    </row>
    <row r="505">
      <c r="C505" s="283"/>
    </row>
    <row r="506">
      <c r="C506" s="283"/>
    </row>
    <row r="507">
      <c r="C507" s="283"/>
    </row>
    <row r="508">
      <c r="C508" s="283"/>
    </row>
    <row r="509">
      <c r="C509" s="283"/>
    </row>
    <row r="510">
      <c r="C510" s="283"/>
    </row>
    <row r="511">
      <c r="C511" s="283"/>
    </row>
    <row r="512">
      <c r="C512" s="283"/>
    </row>
    <row r="513">
      <c r="C513" s="283"/>
    </row>
    <row r="514">
      <c r="C514" s="283"/>
    </row>
    <row r="515">
      <c r="C515" s="283"/>
    </row>
    <row r="516">
      <c r="C516" s="283"/>
    </row>
    <row r="517">
      <c r="C517" s="283"/>
    </row>
    <row r="518">
      <c r="C518" s="283"/>
    </row>
    <row r="519">
      <c r="C519" s="283"/>
    </row>
    <row r="520">
      <c r="C520" s="283"/>
    </row>
    <row r="521">
      <c r="C521" s="283"/>
    </row>
    <row r="522">
      <c r="C522" s="283"/>
    </row>
    <row r="523">
      <c r="C523" s="283"/>
    </row>
    <row r="524">
      <c r="C524" s="283"/>
    </row>
    <row r="525">
      <c r="C525" s="283"/>
    </row>
    <row r="526">
      <c r="C526" s="283"/>
    </row>
    <row r="527">
      <c r="C527" s="283"/>
    </row>
    <row r="528">
      <c r="C528" s="283"/>
    </row>
    <row r="529">
      <c r="C529" s="283"/>
    </row>
    <row r="530">
      <c r="C530" s="283"/>
    </row>
    <row r="531">
      <c r="C531" s="283"/>
    </row>
    <row r="532">
      <c r="C532" s="283"/>
    </row>
    <row r="533">
      <c r="C533" s="283"/>
    </row>
    <row r="534">
      <c r="C534" s="283"/>
    </row>
    <row r="535">
      <c r="C535" s="283"/>
    </row>
    <row r="536">
      <c r="C536" s="283"/>
    </row>
    <row r="537">
      <c r="C537" s="283"/>
    </row>
    <row r="538">
      <c r="C538" s="283"/>
    </row>
    <row r="539">
      <c r="C539" s="283"/>
    </row>
    <row r="540">
      <c r="C540" s="283"/>
    </row>
    <row r="541">
      <c r="C541" s="283"/>
    </row>
    <row r="542">
      <c r="C542" s="283"/>
    </row>
    <row r="543">
      <c r="C543" s="283"/>
    </row>
    <row r="544">
      <c r="C544" s="283"/>
    </row>
    <row r="545">
      <c r="C545" s="283"/>
    </row>
    <row r="546">
      <c r="C546" s="283"/>
    </row>
    <row r="547">
      <c r="C547" s="283"/>
    </row>
    <row r="548">
      <c r="C548" s="283"/>
    </row>
    <row r="549">
      <c r="C549" s="283"/>
    </row>
    <row r="550">
      <c r="C550" s="283"/>
    </row>
    <row r="551">
      <c r="C551" s="283"/>
    </row>
    <row r="552">
      <c r="C552" s="283"/>
    </row>
    <row r="553">
      <c r="C553" s="283"/>
    </row>
    <row r="554">
      <c r="C554" s="283"/>
    </row>
    <row r="555">
      <c r="C555" s="283"/>
    </row>
    <row r="556">
      <c r="C556" s="283"/>
    </row>
    <row r="557">
      <c r="C557" s="283"/>
    </row>
    <row r="558">
      <c r="C558" s="283"/>
    </row>
    <row r="559">
      <c r="C559" s="283"/>
    </row>
    <row r="560">
      <c r="C560" s="283"/>
    </row>
    <row r="561">
      <c r="C561" s="283"/>
    </row>
    <row r="562">
      <c r="C562" s="283"/>
    </row>
    <row r="563">
      <c r="C563" s="283"/>
    </row>
    <row r="564">
      <c r="C564" s="283"/>
    </row>
    <row r="565">
      <c r="C565" s="283"/>
    </row>
    <row r="566">
      <c r="C566" s="283"/>
    </row>
    <row r="567">
      <c r="C567" s="283"/>
    </row>
    <row r="568">
      <c r="C568" s="283"/>
    </row>
    <row r="569">
      <c r="C569" s="283"/>
    </row>
    <row r="570">
      <c r="C570" s="283"/>
    </row>
    <row r="571">
      <c r="C571" s="283"/>
    </row>
    <row r="572">
      <c r="C572" s="283"/>
    </row>
    <row r="573">
      <c r="C573" s="283"/>
    </row>
    <row r="574">
      <c r="C574" s="283"/>
    </row>
    <row r="575">
      <c r="C575" s="283"/>
    </row>
    <row r="576">
      <c r="C576" s="283"/>
    </row>
    <row r="577">
      <c r="C577" s="283"/>
    </row>
    <row r="578">
      <c r="C578" s="283"/>
    </row>
    <row r="579">
      <c r="C579" s="283"/>
    </row>
    <row r="580">
      <c r="C580" s="283"/>
    </row>
    <row r="581">
      <c r="C581" s="283"/>
    </row>
    <row r="582">
      <c r="C582" s="283"/>
    </row>
    <row r="583">
      <c r="C583" s="283"/>
    </row>
    <row r="584">
      <c r="C584" s="283"/>
    </row>
    <row r="585">
      <c r="C585" s="283"/>
    </row>
    <row r="586">
      <c r="C586" s="283"/>
    </row>
    <row r="587">
      <c r="C587" s="283"/>
    </row>
    <row r="588">
      <c r="C588" s="283"/>
    </row>
    <row r="589">
      <c r="C589" s="283"/>
    </row>
    <row r="590">
      <c r="C590" s="283"/>
    </row>
    <row r="591">
      <c r="C591" s="283"/>
    </row>
    <row r="592">
      <c r="C592" s="283"/>
    </row>
    <row r="593">
      <c r="C593" s="283"/>
    </row>
    <row r="594">
      <c r="C594" s="283"/>
    </row>
    <row r="595">
      <c r="C595" s="283"/>
    </row>
    <row r="596">
      <c r="C596" s="283"/>
    </row>
    <row r="597">
      <c r="C597" s="283"/>
    </row>
    <row r="598">
      <c r="C598" s="283"/>
    </row>
    <row r="599">
      <c r="C599" s="283"/>
    </row>
    <row r="600">
      <c r="C600" s="283"/>
    </row>
    <row r="601">
      <c r="C601" s="283"/>
    </row>
    <row r="602">
      <c r="C602" s="283"/>
    </row>
    <row r="603">
      <c r="C603" s="283"/>
    </row>
    <row r="604">
      <c r="C604" s="283"/>
    </row>
    <row r="605">
      <c r="C605" s="283"/>
    </row>
    <row r="606">
      <c r="C606" s="283"/>
    </row>
    <row r="607">
      <c r="C607" s="283"/>
    </row>
    <row r="608">
      <c r="C608" s="283"/>
    </row>
    <row r="609">
      <c r="C609" s="283"/>
    </row>
    <row r="610">
      <c r="C610" s="283"/>
    </row>
    <row r="611">
      <c r="C611" s="283"/>
    </row>
    <row r="612">
      <c r="C612" s="283"/>
    </row>
    <row r="613">
      <c r="C613" s="283"/>
    </row>
    <row r="614">
      <c r="C614" s="283"/>
    </row>
    <row r="615">
      <c r="C615" s="283"/>
    </row>
    <row r="616">
      <c r="C616" s="283"/>
    </row>
    <row r="617">
      <c r="C617" s="283"/>
    </row>
    <row r="618">
      <c r="C618" s="283"/>
    </row>
    <row r="619">
      <c r="C619" s="283"/>
    </row>
    <row r="620">
      <c r="C620" s="283"/>
    </row>
    <row r="621">
      <c r="C621" s="283"/>
    </row>
    <row r="622">
      <c r="C622" s="283"/>
    </row>
    <row r="623">
      <c r="C623" s="283"/>
    </row>
    <row r="624">
      <c r="C624" s="283"/>
    </row>
    <row r="625">
      <c r="C625" s="283"/>
    </row>
    <row r="626">
      <c r="C626" s="283"/>
    </row>
    <row r="627">
      <c r="C627" s="283"/>
    </row>
    <row r="628">
      <c r="C628" s="283"/>
    </row>
    <row r="629">
      <c r="C629" s="283"/>
    </row>
    <row r="630">
      <c r="C630" s="283"/>
    </row>
    <row r="631">
      <c r="C631" s="283"/>
    </row>
    <row r="632">
      <c r="C632" s="283"/>
    </row>
    <row r="633">
      <c r="C633" s="283"/>
    </row>
    <row r="634">
      <c r="C634" s="283"/>
    </row>
    <row r="635">
      <c r="C635" s="283"/>
    </row>
    <row r="636">
      <c r="C636" s="283"/>
    </row>
    <row r="637">
      <c r="C637" s="283"/>
    </row>
    <row r="638">
      <c r="C638" s="283"/>
    </row>
    <row r="639">
      <c r="C639" s="283"/>
    </row>
    <row r="640">
      <c r="C640" s="283"/>
    </row>
    <row r="641">
      <c r="C641" s="283"/>
    </row>
    <row r="642">
      <c r="C642" s="283"/>
    </row>
    <row r="643">
      <c r="C643" s="283"/>
    </row>
    <row r="644">
      <c r="C644" s="283"/>
    </row>
    <row r="645">
      <c r="C645" s="283"/>
    </row>
    <row r="646">
      <c r="C646" s="283"/>
    </row>
    <row r="647">
      <c r="C647" s="283"/>
    </row>
    <row r="648">
      <c r="C648" s="283"/>
    </row>
    <row r="649">
      <c r="C649" s="283"/>
    </row>
    <row r="650">
      <c r="C650" s="283"/>
    </row>
    <row r="651">
      <c r="C651" s="283"/>
    </row>
    <row r="652">
      <c r="C652" s="283"/>
    </row>
    <row r="653">
      <c r="C653" s="283"/>
    </row>
    <row r="654">
      <c r="C654" s="283"/>
    </row>
    <row r="655">
      <c r="C655" s="283"/>
    </row>
    <row r="656">
      <c r="C656" s="283"/>
    </row>
    <row r="657">
      <c r="C657" s="283"/>
    </row>
    <row r="658">
      <c r="C658" s="283"/>
    </row>
    <row r="659">
      <c r="C659" s="283"/>
    </row>
    <row r="660">
      <c r="C660" s="283"/>
    </row>
    <row r="661">
      <c r="C661" s="283"/>
    </row>
    <row r="662">
      <c r="C662" s="283"/>
    </row>
    <row r="663">
      <c r="C663" s="283"/>
    </row>
    <row r="664">
      <c r="C664" s="283"/>
    </row>
    <row r="665">
      <c r="C665" s="283"/>
    </row>
    <row r="666">
      <c r="C666" s="283"/>
    </row>
    <row r="667">
      <c r="C667" s="283"/>
    </row>
    <row r="668">
      <c r="C668" s="283"/>
    </row>
    <row r="669">
      <c r="C669" s="283"/>
    </row>
    <row r="670">
      <c r="C670" s="283"/>
    </row>
    <row r="671">
      <c r="C671" s="283"/>
    </row>
    <row r="672">
      <c r="C672" s="283"/>
    </row>
    <row r="673">
      <c r="C673" s="283"/>
    </row>
    <row r="674">
      <c r="C674" s="283"/>
    </row>
    <row r="675">
      <c r="C675" s="283"/>
    </row>
    <row r="676">
      <c r="C676" s="283"/>
    </row>
    <row r="677">
      <c r="C677" s="283"/>
    </row>
    <row r="678">
      <c r="C678" s="283"/>
    </row>
    <row r="679">
      <c r="C679" s="283"/>
    </row>
    <row r="680">
      <c r="C680" s="283"/>
    </row>
    <row r="681">
      <c r="C681" s="283"/>
    </row>
    <row r="682">
      <c r="C682" s="283"/>
    </row>
    <row r="683">
      <c r="C683" s="283"/>
    </row>
    <row r="684">
      <c r="C684" s="283"/>
    </row>
    <row r="685">
      <c r="C685" s="283"/>
    </row>
    <row r="686">
      <c r="C686" s="283"/>
    </row>
    <row r="687">
      <c r="C687" s="283"/>
    </row>
    <row r="688">
      <c r="C688" s="283"/>
    </row>
    <row r="689">
      <c r="C689" s="283"/>
    </row>
    <row r="690">
      <c r="C690" s="283"/>
    </row>
    <row r="691">
      <c r="C691" s="283"/>
    </row>
    <row r="692">
      <c r="C692" s="283"/>
    </row>
    <row r="693">
      <c r="C693" s="283"/>
    </row>
    <row r="694">
      <c r="C694" s="283"/>
    </row>
    <row r="695">
      <c r="C695" s="283"/>
    </row>
    <row r="696">
      <c r="C696" s="283"/>
    </row>
    <row r="697">
      <c r="C697" s="283"/>
    </row>
    <row r="698">
      <c r="C698" s="283"/>
    </row>
    <row r="699">
      <c r="C699" s="283"/>
    </row>
    <row r="700">
      <c r="C700" s="283"/>
    </row>
    <row r="701">
      <c r="C701" s="283"/>
    </row>
    <row r="702">
      <c r="C702" s="283"/>
    </row>
    <row r="703">
      <c r="C703" s="283"/>
    </row>
    <row r="704">
      <c r="C704" s="283"/>
    </row>
    <row r="705">
      <c r="C705" s="283"/>
    </row>
    <row r="706">
      <c r="C706" s="283"/>
    </row>
    <row r="707">
      <c r="C707" s="283"/>
    </row>
    <row r="708">
      <c r="C708" s="283"/>
    </row>
    <row r="709">
      <c r="C709" s="283"/>
    </row>
    <row r="710">
      <c r="C710" s="283"/>
    </row>
    <row r="711">
      <c r="C711" s="283"/>
    </row>
    <row r="712">
      <c r="C712" s="283"/>
    </row>
    <row r="713">
      <c r="C713" s="283"/>
    </row>
    <row r="714">
      <c r="C714" s="283"/>
    </row>
    <row r="715">
      <c r="C715" s="283"/>
    </row>
    <row r="716">
      <c r="C716" s="283"/>
    </row>
    <row r="717">
      <c r="C717" s="283"/>
    </row>
    <row r="718">
      <c r="C718" s="283"/>
    </row>
    <row r="719">
      <c r="C719" s="283"/>
    </row>
    <row r="720">
      <c r="C720" s="283"/>
    </row>
    <row r="721">
      <c r="C721" s="283"/>
    </row>
    <row r="722">
      <c r="C722" s="283"/>
    </row>
    <row r="723">
      <c r="C723" s="283"/>
    </row>
    <row r="724">
      <c r="C724" s="283"/>
    </row>
    <row r="725">
      <c r="C725" s="283"/>
    </row>
    <row r="726">
      <c r="C726" s="283"/>
    </row>
    <row r="727">
      <c r="C727" s="283"/>
    </row>
    <row r="728">
      <c r="C728" s="283"/>
    </row>
    <row r="729">
      <c r="C729" s="283"/>
    </row>
    <row r="730">
      <c r="C730" s="283"/>
    </row>
    <row r="731">
      <c r="C731" s="283"/>
    </row>
    <row r="732">
      <c r="C732" s="283"/>
    </row>
    <row r="733">
      <c r="C733" s="283"/>
    </row>
    <row r="734">
      <c r="C734" s="283"/>
    </row>
    <row r="735">
      <c r="C735" s="283"/>
    </row>
    <row r="736">
      <c r="C736" s="283"/>
    </row>
    <row r="737">
      <c r="C737" s="283"/>
    </row>
    <row r="738">
      <c r="C738" s="283"/>
    </row>
    <row r="739">
      <c r="C739" s="283"/>
    </row>
    <row r="740">
      <c r="C740" s="283"/>
    </row>
    <row r="741">
      <c r="C741" s="283"/>
    </row>
    <row r="742">
      <c r="C742" s="283"/>
    </row>
    <row r="743">
      <c r="C743" s="283"/>
    </row>
    <row r="744">
      <c r="C744" s="283"/>
    </row>
    <row r="745">
      <c r="C745" s="283"/>
    </row>
    <row r="746">
      <c r="C746" s="283"/>
    </row>
    <row r="747">
      <c r="C747" s="283"/>
    </row>
    <row r="748">
      <c r="C748" s="283"/>
    </row>
    <row r="749">
      <c r="C749" s="283"/>
    </row>
    <row r="750">
      <c r="C750" s="283"/>
    </row>
    <row r="751">
      <c r="C751" s="283"/>
    </row>
    <row r="752">
      <c r="C752" s="283"/>
    </row>
    <row r="753">
      <c r="C753" s="283"/>
    </row>
    <row r="754">
      <c r="C754" s="283"/>
    </row>
    <row r="755">
      <c r="C755" s="283"/>
    </row>
    <row r="756">
      <c r="C756" s="283"/>
    </row>
    <row r="757">
      <c r="C757" s="283"/>
    </row>
    <row r="758">
      <c r="C758" s="283"/>
    </row>
    <row r="759">
      <c r="C759" s="283"/>
    </row>
    <row r="760">
      <c r="C760" s="283"/>
    </row>
    <row r="761">
      <c r="C761" s="283"/>
    </row>
    <row r="762">
      <c r="C762" s="283"/>
    </row>
    <row r="763">
      <c r="C763" s="283"/>
    </row>
    <row r="764">
      <c r="C764" s="283"/>
    </row>
    <row r="765">
      <c r="C765" s="283"/>
    </row>
    <row r="766">
      <c r="C766" s="283"/>
    </row>
    <row r="767">
      <c r="C767" s="283"/>
    </row>
    <row r="768">
      <c r="C768" s="283"/>
    </row>
    <row r="769">
      <c r="C769" s="283"/>
    </row>
    <row r="770">
      <c r="C770" s="283"/>
    </row>
    <row r="771">
      <c r="C771" s="283"/>
    </row>
    <row r="772">
      <c r="C772" s="283"/>
    </row>
    <row r="773">
      <c r="C773" s="283"/>
    </row>
    <row r="774">
      <c r="C774" s="283"/>
    </row>
    <row r="775">
      <c r="C775" s="283"/>
    </row>
    <row r="776">
      <c r="C776" s="283"/>
    </row>
    <row r="777">
      <c r="C777" s="283"/>
    </row>
    <row r="778">
      <c r="C778" s="283"/>
    </row>
    <row r="779">
      <c r="C779" s="283"/>
    </row>
    <row r="780">
      <c r="C780" s="283"/>
    </row>
    <row r="781">
      <c r="C781" s="283"/>
    </row>
    <row r="782">
      <c r="C782" s="283"/>
    </row>
    <row r="783">
      <c r="C783" s="283"/>
    </row>
    <row r="784">
      <c r="C784" s="283"/>
    </row>
    <row r="785">
      <c r="C785" s="283"/>
    </row>
    <row r="786">
      <c r="C786" s="283"/>
    </row>
    <row r="787">
      <c r="C787" s="283"/>
    </row>
    <row r="788">
      <c r="C788" s="283"/>
    </row>
    <row r="789">
      <c r="C789" s="283"/>
    </row>
    <row r="790">
      <c r="C790" s="283"/>
    </row>
    <row r="791">
      <c r="C791" s="283"/>
    </row>
    <row r="792">
      <c r="C792" s="283"/>
    </row>
    <row r="793">
      <c r="C793" s="283"/>
    </row>
    <row r="794">
      <c r="C794" s="283"/>
    </row>
    <row r="795">
      <c r="C795" s="283"/>
    </row>
    <row r="796">
      <c r="C796" s="283"/>
    </row>
    <row r="797">
      <c r="C797" s="283"/>
    </row>
    <row r="798">
      <c r="C798" s="283"/>
    </row>
    <row r="799">
      <c r="C799" s="283"/>
    </row>
    <row r="800">
      <c r="C800" s="283"/>
    </row>
    <row r="801">
      <c r="C801" s="283"/>
    </row>
    <row r="802">
      <c r="C802" s="283"/>
    </row>
    <row r="803">
      <c r="C803" s="283"/>
    </row>
    <row r="804">
      <c r="C804" s="283"/>
    </row>
    <row r="805">
      <c r="C805" s="283"/>
    </row>
    <row r="806">
      <c r="C806" s="283"/>
    </row>
    <row r="807">
      <c r="C807" s="283"/>
    </row>
    <row r="808">
      <c r="C808" s="283"/>
    </row>
    <row r="809">
      <c r="C809" s="283"/>
    </row>
    <row r="810">
      <c r="C810" s="283"/>
    </row>
    <row r="811">
      <c r="C811" s="283"/>
    </row>
    <row r="812">
      <c r="C812" s="283"/>
    </row>
    <row r="813">
      <c r="C813" s="283"/>
    </row>
    <row r="814">
      <c r="C814" s="283"/>
    </row>
    <row r="815">
      <c r="C815" s="283"/>
    </row>
    <row r="816">
      <c r="C816" s="283"/>
    </row>
    <row r="817">
      <c r="C817" s="283"/>
    </row>
    <row r="818">
      <c r="C818" s="283"/>
    </row>
    <row r="819">
      <c r="C819" s="283"/>
    </row>
    <row r="820">
      <c r="C820" s="283"/>
    </row>
    <row r="821">
      <c r="C821" s="283"/>
    </row>
    <row r="822">
      <c r="C822" s="283"/>
    </row>
    <row r="823">
      <c r="C823" s="283"/>
    </row>
    <row r="824">
      <c r="C824" s="283"/>
    </row>
    <row r="825">
      <c r="C825" s="283"/>
    </row>
    <row r="826">
      <c r="C826" s="283"/>
    </row>
    <row r="827">
      <c r="C827" s="283"/>
    </row>
    <row r="828">
      <c r="C828" s="283"/>
    </row>
    <row r="829">
      <c r="C829" s="283"/>
    </row>
    <row r="830">
      <c r="C830" s="283"/>
    </row>
    <row r="831">
      <c r="C831" s="283"/>
    </row>
    <row r="832">
      <c r="C832" s="283"/>
    </row>
    <row r="833">
      <c r="C833" s="283"/>
    </row>
    <row r="834">
      <c r="C834" s="283"/>
    </row>
    <row r="835">
      <c r="C835" s="283"/>
    </row>
    <row r="836">
      <c r="C836" s="283"/>
    </row>
    <row r="837">
      <c r="C837" s="283"/>
    </row>
    <row r="838">
      <c r="C838" s="283"/>
    </row>
    <row r="839">
      <c r="C839" s="283"/>
    </row>
    <row r="840">
      <c r="C840" s="283"/>
    </row>
    <row r="841">
      <c r="C841" s="283"/>
    </row>
    <row r="842">
      <c r="C842" s="283"/>
    </row>
    <row r="843">
      <c r="C843" s="283"/>
    </row>
    <row r="844">
      <c r="C844" s="283"/>
    </row>
    <row r="845">
      <c r="C845" s="283"/>
    </row>
    <row r="846">
      <c r="C846" s="283"/>
    </row>
    <row r="847">
      <c r="C847" s="283"/>
    </row>
    <row r="848">
      <c r="C848" s="283"/>
    </row>
    <row r="849">
      <c r="C849" s="283"/>
    </row>
    <row r="850">
      <c r="C850" s="283"/>
    </row>
    <row r="851">
      <c r="C851" s="283"/>
    </row>
    <row r="852">
      <c r="C852" s="283"/>
    </row>
    <row r="853">
      <c r="C853" s="283"/>
    </row>
    <row r="854">
      <c r="C854" s="283"/>
    </row>
    <row r="855">
      <c r="C855" s="283"/>
    </row>
    <row r="856">
      <c r="C856" s="283"/>
    </row>
    <row r="857">
      <c r="C857" s="283"/>
    </row>
    <row r="858">
      <c r="C858" s="283"/>
    </row>
    <row r="859">
      <c r="C859" s="283"/>
    </row>
    <row r="860">
      <c r="C860" s="283"/>
    </row>
    <row r="861">
      <c r="C861" s="283"/>
    </row>
    <row r="862">
      <c r="C862" s="283"/>
    </row>
    <row r="863">
      <c r="C863" s="283"/>
    </row>
    <row r="864">
      <c r="C864" s="283"/>
    </row>
    <row r="865">
      <c r="C865" s="283"/>
    </row>
    <row r="866">
      <c r="C866" s="283"/>
    </row>
    <row r="867">
      <c r="C867" s="283"/>
    </row>
    <row r="868">
      <c r="C868" s="283"/>
    </row>
    <row r="869">
      <c r="C869" s="283"/>
    </row>
    <row r="870">
      <c r="C870" s="283"/>
    </row>
    <row r="871">
      <c r="C871" s="283"/>
    </row>
    <row r="872">
      <c r="C872" s="283"/>
    </row>
    <row r="873">
      <c r="C873" s="283"/>
    </row>
    <row r="874">
      <c r="C874" s="283"/>
    </row>
    <row r="875">
      <c r="C875" s="283"/>
    </row>
    <row r="876">
      <c r="C876" s="283"/>
    </row>
    <row r="877">
      <c r="C877" s="283"/>
    </row>
    <row r="878">
      <c r="C878" s="283"/>
    </row>
    <row r="879">
      <c r="C879" s="283"/>
    </row>
    <row r="880">
      <c r="C880" s="283"/>
    </row>
    <row r="881">
      <c r="C881" s="283"/>
    </row>
    <row r="882">
      <c r="C882" s="283"/>
    </row>
    <row r="883">
      <c r="C883" s="283"/>
    </row>
    <row r="884">
      <c r="C884" s="283"/>
    </row>
    <row r="885">
      <c r="C885" s="283"/>
    </row>
    <row r="886">
      <c r="C886" s="283"/>
    </row>
    <row r="887">
      <c r="C887" s="283"/>
    </row>
    <row r="888">
      <c r="C888" s="283"/>
    </row>
    <row r="889">
      <c r="C889" s="283"/>
    </row>
    <row r="890">
      <c r="C890" s="283"/>
    </row>
    <row r="891">
      <c r="C891" s="283"/>
    </row>
    <row r="892">
      <c r="C892" s="283"/>
    </row>
    <row r="893">
      <c r="C893" s="283"/>
    </row>
    <row r="894">
      <c r="C894" s="283"/>
    </row>
    <row r="895">
      <c r="C895" s="283"/>
    </row>
    <row r="896">
      <c r="C896" s="283"/>
    </row>
    <row r="897">
      <c r="C897" s="283"/>
    </row>
    <row r="898">
      <c r="C898" s="283"/>
    </row>
    <row r="899">
      <c r="C899" s="283"/>
    </row>
    <row r="900">
      <c r="C900" s="283"/>
    </row>
    <row r="901">
      <c r="C901" s="283"/>
    </row>
    <row r="902">
      <c r="C902" s="283"/>
    </row>
    <row r="903">
      <c r="C903" s="283"/>
    </row>
    <row r="904">
      <c r="C904" s="283"/>
    </row>
    <row r="905">
      <c r="C905" s="283"/>
    </row>
    <row r="906">
      <c r="C906" s="283"/>
    </row>
    <row r="907">
      <c r="C907" s="283"/>
    </row>
    <row r="908">
      <c r="C908" s="283"/>
    </row>
    <row r="909">
      <c r="C909" s="283"/>
    </row>
    <row r="910">
      <c r="C910" s="283"/>
    </row>
    <row r="911">
      <c r="C911" s="283"/>
    </row>
    <row r="912">
      <c r="C912" s="283"/>
    </row>
    <row r="913">
      <c r="C913" s="283"/>
    </row>
    <row r="914">
      <c r="C914" s="283"/>
    </row>
    <row r="915">
      <c r="C915" s="283"/>
    </row>
    <row r="916">
      <c r="C916" s="283"/>
    </row>
    <row r="917">
      <c r="C917" s="283"/>
    </row>
    <row r="918">
      <c r="C918" s="283"/>
    </row>
    <row r="919">
      <c r="C919" s="283"/>
    </row>
    <row r="920">
      <c r="C920" s="283"/>
    </row>
    <row r="921">
      <c r="C921" s="283"/>
    </row>
    <row r="922">
      <c r="C922" s="283"/>
    </row>
    <row r="923">
      <c r="C923" s="283"/>
    </row>
    <row r="924">
      <c r="C924" s="283"/>
    </row>
    <row r="925">
      <c r="C925" s="283"/>
    </row>
    <row r="926">
      <c r="C926" s="283"/>
    </row>
    <row r="927">
      <c r="C927" s="283"/>
    </row>
    <row r="928">
      <c r="C928" s="283"/>
    </row>
    <row r="929">
      <c r="C929" s="283"/>
    </row>
    <row r="930">
      <c r="C930" s="283"/>
    </row>
    <row r="931">
      <c r="C931" s="283"/>
    </row>
    <row r="932">
      <c r="C932" s="283"/>
    </row>
    <row r="933">
      <c r="C933" s="283"/>
    </row>
    <row r="934">
      <c r="C934" s="283"/>
    </row>
    <row r="935">
      <c r="C935" s="283"/>
    </row>
    <row r="936">
      <c r="C936" s="283"/>
    </row>
    <row r="937">
      <c r="C937" s="283"/>
    </row>
    <row r="938">
      <c r="C938" s="283"/>
    </row>
    <row r="939">
      <c r="C939" s="283"/>
    </row>
    <row r="940">
      <c r="C940" s="283"/>
    </row>
    <row r="941">
      <c r="C941" s="283"/>
    </row>
    <row r="942">
      <c r="C942" s="283"/>
    </row>
    <row r="943">
      <c r="C943" s="283"/>
    </row>
    <row r="944">
      <c r="C944" s="283"/>
    </row>
    <row r="945">
      <c r="C945" s="283"/>
    </row>
    <row r="946">
      <c r="C946" s="283"/>
    </row>
    <row r="947">
      <c r="C947" s="283"/>
    </row>
    <row r="948">
      <c r="C948" s="283"/>
    </row>
    <row r="949">
      <c r="C949" s="283"/>
    </row>
    <row r="950">
      <c r="C950" s="283"/>
    </row>
    <row r="951">
      <c r="C951" s="283"/>
    </row>
    <row r="952">
      <c r="C952" s="283"/>
    </row>
    <row r="953">
      <c r="C953" s="283"/>
    </row>
    <row r="954">
      <c r="C954" s="283"/>
    </row>
    <row r="955">
      <c r="C955" s="283"/>
    </row>
    <row r="956">
      <c r="C956" s="283"/>
    </row>
    <row r="957">
      <c r="C957" s="283"/>
    </row>
    <row r="958">
      <c r="C958" s="283"/>
    </row>
    <row r="959">
      <c r="C959" s="283"/>
    </row>
    <row r="960">
      <c r="C960" s="283"/>
    </row>
    <row r="961">
      <c r="C961" s="283"/>
    </row>
    <row r="962">
      <c r="C962" s="283"/>
    </row>
    <row r="963">
      <c r="C963" s="283"/>
    </row>
    <row r="964">
      <c r="C964" s="283"/>
    </row>
    <row r="965">
      <c r="C965" s="283"/>
    </row>
    <row r="966">
      <c r="C966" s="283"/>
    </row>
    <row r="967">
      <c r="C967" s="283"/>
    </row>
    <row r="968">
      <c r="C968" s="283"/>
    </row>
    <row r="969">
      <c r="C969" s="283"/>
    </row>
    <row r="970">
      <c r="C970" s="283"/>
    </row>
    <row r="971">
      <c r="C971" s="283"/>
    </row>
    <row r="972">
      <c r="C972" s="283"/>
    </row>
    <row r="973">
      <c r="C973" s="283"/>
    </row>
    <row r="974">
      <c r="C974" s="283"/>
    </row>
    <row r="975">
      <c r="C975" s="283"/>
    </row>
    <row r="976">
      <c r="C976" s="283"/>
    </row>
    <row r="977">
      <c r="C977" s="283"/>
    </row>
    <row r="978">
      <c r="C978" s="283"/>
    </row>
    <row r="979">
      <c r="C979" s="283"/>
    </row>
    <row r="980">
      <c r="C980" s="283"/>
    </row>
    <row r="981">
      <c r="C981" s="283"/>
    </row>
    <row r="982">
      <c r="C982" s="283"/>
    </row>
    <row r="983">
      <c r="C983" s="283"/>
    </row>
    <row r="984">
      <c r="C984" s="283"/>
    </row>
    <row r="985">
      <c r="C985" s="283"/>
    </row>
    <row r="986">
      <c r="C986" s="283"/>
    </row>
    <row r="987">
      <c r="C987" s="283"/>
    </row>
    <row r="988">
      <c r="C988" s="283"/>
    </row>
    <row r="989">
      <c r="C989" s="283"/>
    </row>
    <row r="990">
      <c r="C990" s="283"/>
    </row>
    <row r="991">
      <c r="C991" s="283"/>
    </row>
    <row r="992">
      <c r="C992" s="283"/>
    </row>
    <row r="993">
      <c r="C993" s="283"/>
    </row>
    <row r="994">
      <c r="C994" s="283"/>
    </row>
    <row r="995">
      <c r="C995" s="283"/>
    </row>
    <row r="996">
      <c r="C996" s="283"/>
    </row>
    <row r="997">
      <c r="C997" s="283"/>
    </row>
    <row r="998">
      <c r="C998" s="283"/>
    </row>
    <row r="999">
      <c r="C999" s="283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C47D"/>
    <outlinePr summaryBelow="0" summaryRight="0"/>
  </sheetPr>
  <sheetViews>
    <sheetView workbookViewId="0"/>
  </sheetViews>
  <sheetFormatPr customHeight="1" defaultColWidth="12.63" defaultRowHeight="15.75"/>
  <cols>
    <col customWidth="1" min="2" max="2" width="29.63"/>
    <col customWidth="1" min="3" max="3" width="49.88"/>
    <col customWidth="1" min="4" max="5" width="52.0"/>
    <col customWidth="1" min="6" max="6" width="34.63"/>
    <col customWidth="1" min="7" max="7" width="149.5"/>
  </cols>
  <sheetData>
    <row r="1">
      <c r="A1" s="286" t="s">
        <v>0</v>
      </c>
      <c r="B1" s="286" t="s">
        <v>491</v>
      </c>
      <c r="C1" s="286" t="s">
        <v>3</v>
      </c>
      <c r="D1" s="286" t="s">
        <v>4</v>
      </c>
      <c r="E1" s="286" t="s">
        <v>492</v>
      </c>
      <c r="F1" s="286" t="s">
        <v>7</v>
      </c>
    </row>
    <row r="2">
      <c r="A2" s="287" t="s">
        <v>9</v>
      </c>
      <c r="B2" s="287" t="s">
        <v>173</v>
      </c>
      <c r="C2" s="70"/>
      <c r="D2" s="288"/>
      <c r="E2" s="70"/>
      <c r="F2" s="70"/>
    </row>
    <row r="3">
      <c r="A3" s="289"/>
      <c r="B3" s="289"/>
      <c r="C3" s="70"/>
      <c r="D3" s="288"/>
      <c r="E3" s="70"/>
      <c r="F3" s="70"/>
    </row>
    <row r="4">
      <c r="A4" s="289"/>
      <c r="B4" s="70"/>
      <c r="C4" s="70"/>
      <c r="D4" s="288"/>
      <c r="E4" s="70"/>
      <c r="F4" s="70"/>
    </row>
    <row r="5">
      <c r="A5" s="289"/>
      <c r="B5" s="70"/>
      <c r="C5" s="70"/>
      <c r="D5" s="288"/>
      <c r="E5" s="70"/>
      <c r="F5" s="289"/>
    </row>
    <row r="6">
      <c r="A6" s="290" t="s">
        <v>12</v>
      </c>
      <c r="B6" s="290" t="s">
        <v>493</v>
      </c>
      <c r="C6" s="291"/>
      <c r="D6" s="292"/>
      <c r="E6" s="291"/>
      <c r="F6" s="291"/>
    </row>
    <row r="7">
      <c r="A7" s="293"/>
      <c r="B7" s="293"/>
      <c r="C7" s="294"/>
      <c r="D7" s="295"/>
      <c r="E7" s="296"/>
      <c r="F7" s="291"/>
    </row>
    <row r="8">
      <c r="A8" s="293"/>
      <c r="B8" s="291"/>
      <c r="C8" s="297" t="s">
        <v>494</v>
      </c>
      <c r="D8" s="298" t="s">
        <v>495</v>
      </c>
      <c r="E8" s="296" t="s">
        <v>496</v>
      </c>
      <c r="F8" s="299" t="s">
        <v>497</v>
      </c>
    </row>
    <row r="9">
      <c r="A9" s="293"/>
      <c r="B9" s="290"/>
      <c r="C9" s="300"/>
      <c r="D9" s="301"/>
      <c r="E9" s="296"/>
      <c r="F9" s="299"/>
    </row>
    <row r="10">
      <c r="A10" s="302" t="s">
        <v>21</v>
      </c>
      <c r="B10" s="255"/>
      <c r="C10" s="255"/>
      <c r="D10" s="303"/>
      <c r="E10" s="255"/>
      <c r="F10" s="303"/>
    </row>
    <row r="11">
      <c r="A11" s="302"/>
      <c r="B11" s="255"/>
      <c r="C11" s="304" t="s">
        <v>498</v>
      </c>
      <c r="D11" s="305" t="s">
        <v>499</v>
      </c>
      <c r="E11" s="306" t="s">
        <v>500</v>
      </c>
      <c r="F11" s="305" t="s">
        <v>497</v>
      </c>
    </row>
    <row r="12">
      <c r="A12" s="253"/>
      <c r="B12" s="302" t="s">
        <v>189</v>
      </c>
      <c r="C12" s="255" t="s">
        <v>501</v>
      </c>
      <c r="D12" s="305" t="s">
        <v>502</v>
      </c>
      <c r="E12" s="306" t="s">
        <v>503</v>
      </c>
      <c r="F12" s="303" t="s">
        <v>497</v>
      </c>
    </row>
    <row r="13">
      <c r="A13" s="253"/>
      <c r="B13" s="302"/>
      <c r="C13" s="255" t="s">
        <v>504</v>
      </c>
      <c r="D13" s="305" t="s">
        <v>502</v>
      </c>
      <c r="E13" s="306" t="s">
        <v>503</v>
      </c>
      <c r="F13" s="303" t="s">
        <v>497</v>
      </c>
    </row>
    <row r="14">
      <c r="A14" s="253"/>
      <c r="B14" s="302" t="s">
        <v>505</v>
      </c>
      <c r="C14" s="255"/>
      <c r="D14" s="303"/>
      <c r="E14" s="255"/>
      <c r="F14" s="307"/>
    </row>
    <row r="15">
      <c r="A15" s="253"/>
      <c r="B15" s="253"/>
      <c r="C15" s="306"/>
      <c r="D15" s="303"/>
      <c r="E15" s="255"/>
      <c r="F15" s="307"/>
    </row>
    <row r="16">
      <c r="A16" s="308" t="s">
        <v>80</v>
      </c>
      <c r="B16" s="308"/>
      <c r="C16" s="78"/>
      <c r="D16" s="309"/>
      <c r="E16" s="121"/>
      <c r="F16" s="309"/>
    </row>
    <row r="17">
      <c r="A17" s="121"/>
      <c r="B17" s="121"/>
      <c r="C17" s="78" t="s">
        <v>506</v>
      </c>
      <c r="D17" s="310" t="s">
        <v>507</v>
      </c>
      <c r="E17" s="311" t="s">
        <v>508</v>
      </c>
      <c r="F17" s="310" t="s">
        <v>509</v>
      </c>
    </row>
    <row r="18">
      <c r="A18" s="121"/>
      <c r="B18" s="308"/>
      <c r="C18" s="78" t="s">
        <v>510</v>
      </c>
      <c r="D18" s="310" t="s">
        <v>511</v>
      </c>
      <c r="E18" s="312"/>
      <c r="F18" s="310" t="s">
        <v>512</v>
      </c>
    </row>
    <row r="19">
      <c r="A19" s="121"/>
      <c r="B19" s="308" t="s">
        <v>513</v>
      </c>
      <c r="C19" s="78" t="s">
        <v>514</v>
      </c>
      <c r="D19" s="310" t="s">
        <v>515</v>
      </c>
      <c r="E19" s="121"/>
      <c r="F19" s="310" t="s">
        <v>512</v>
      </c>
    </row>
    <row r="20">
      <c r="A20" s="313" t="s">
        <v>30</v>
      </c>
      <c r="B20" s="314"/>
      <c r="C20" s="55" t="s">
        <v>516</v>
      </c>
      <c r="D20" s="315" t="s">
        <v>318</v>
      </c>
      <c r="E20" s="314"/>
      <c r="F20" s="315" t="s">
        <v>512</v>
      </c>
    </row>
    <row r="21">
      <c r="A21" s="316"/>
      <c r="B21" s="313" t="s">
        <v>517</v>
      </c>
      <c r="C21" s="314"/>
      <c r="D21" s="317"/>
      <c r="E21" s="314"/>
      <c r="F21" s="317"/>
    </row>
    <row r="22">
      <c r="A22" s="316"/>
      <c r="B22" s="314"/>
      <c r="C22" s="314"/>
      <c r="D22" s="317"/>
      <c r="E22" s="314"/>
      <c r="F22" s="317"/>
    </row>
    <row r="23">
      <c r="A23" s="316"/>
      <c r="B23" s="314"/>
      <c r="C23" s="318"/>
      <c r="D23" s="317"/>
      <c r="E23" s="314"/>
      <c r="F23" s="317"/>
    </row>
    <row r="24">
      <c r="A24" s="319" t="s">
        <v>39</v>
      </c>
      <c r="B24" s="319"/>
      <c r="C24" s="251"/>
      <c r="D24" s="320" t="s">
        <v>322</v>
      </c>
      <c r="E24" s="321"/>
      <c r="F24" s="322"/>
    </row>
    <row r="25">
      <c r="A25" s="323"/>
      <c r="B25" s="319" t="s">
        <v>518</v>
      </c>
      <c r="C25" s="250" t="s">
        <v>519</v>
      </c>
      <c r="D25" s="320" t="s">
        <v>322</v>
      </c>
      <c r="E25" s="251" t="s">
        <v>520</v>
      </c>
      <c r="F25" s="322"/>
    </row>
    <row r="26">
      <c r="A26" s="323"/>
      <c r="B26" s="321"/>
      <c r="C26" s="321"/>
      <c r="D26" s="322"/>
      <c r="E26" s="321"/>
      <c r="F26" s="322"/>
    </row>
    <row r="27">
      <c r="A27" s="308" t="s">
        <v>57</v>
      </c>
      <c r="B27" s="308"/>
      <c r="C27" s="78" t="s">
        <v>506</v>
      </c>
      <c r="D27" s="310" t="s">
        <v>329</v>
      </c>
      <c r="E27" s="78" t="s">
        <v>520</v>
      </c>
      <c r="F27" s="309"/>
    </row>
    <row r="28">
      <c r="A28" s="324"/>
      <c r="B28" s="121"/>
      <c r="C28" s="78" t="s">
        <v>521</v>
      </c>
      <c r="D28" s="310" t="s">
        <v>330</v>
      </c>
      <c r="E28" s="78" t="s">
        <v>520</v>
      </c>
      <c r="F28" s="309"/>
    </row>
    <row r="29">
      <c r="A29" s="324"/>
      <c r="B29" s="121"/>
      <c r="C29" s="121"/>
      <c r="D29" s="309"/>
      <c r="E29" s="121"/>
      <c r="F29" s="309"/>
    </row>
    <row r="30">
      <c r="A30" s="92" t="s">
        <v>68</v>
      </c>
      <c r="B30" s="92" t="s">
        <v>522</v>
      </c>
      <c r="C30" s="325" t="s">
        <v>523</v>
      </c>
      <c r="D30" s="326" t="s">
        <v>77</v>
      </c>
      <c r="E30" s="53"/>
      <c r="F30" s="53"/>
    </row>
    <row r="31">
      <c r="A31" s="97"/>
      <c r="B31" s="53"/>
      <c r="C31" s="53"/>
      <c r="D31" s="327"/>
      <c r="E31" s="53"/>
      <c r="F31" s="53"/>
    </row>
    <row r="32">
      <c r="A32" s="97"/>
      <c r="B32" s="53"/>
      <c r="C32" s="53"/>
      <c r="D32" s="327"/>
      <c r="E32" s="53"/>
      <c r="F32" s="53"/>
    </row>
    <row r="33">
      <c r="A33" s="328" t="s">
        <v>118</v>
      </c>
      <c r="B33" s="328"/>
      <c r="C33" s="329"/>
      <c r="D33" s="330"/>
      <c r="E33" s="329"/>
      <c r="F33" s="329"/>
    </row>
    <row r="34">
      <c r="A34" s="331"/>
      <c r="B34" s="332" t="s">
        <v>524</v>
      </c>
      <c r="C34" s="333" t="s">
        <v>525</v>
      </c>
      <c r="D34" s="334" t="s">
        <v>83</v>
      </c>
      <c r="E34" s="329"/>
      <c r="F34" s="335" t="s">
        <v>512</v>
      </c>
    </row>
    <row r="35">
      <c r="A35" s="331"/>
      <c r="B35" s="332" t="s">
        <v>522</v>
      </c>
      <c r="C35" s="335" t="s">
        <v>526</v>
      </c>
      <c r="D35" s="334" t="s">
        <v>85</v>
      </c>
      <c r="E35" s="329"/>
      <c r="F35" s="335" t="s">
        <v>105</v>
      </c>
    </row>
    <row r="36">
      <c r="A36" s="331"/>
      <c r="B36" s="332" t="s">
        <v>527</v>
      </c>
      <c r="C36" s="335" t="s">
        <v>528</v>
      </c>
      <c r="D36" s="334" t="s">
        <v>85</v>
      </c>
      <c r="E36" s="329"/>
      <c r="F36" s="335" t="s">
        <v>529</v>
      </c>
    </row>
    <row r="37">
      <c r="A37" s="331"/>
      <c r="B37" s="332" t="s">
        <v>530</v>
      </c>
      <c r="C37" s="335" t="s">
        <v>526</v>
      </c>
      <c r="D37" s="334" t="s">
        <v>84</v>
      </c>
      <c r="E37" s="329"/>
      <c r="F37" s="335" t="s">
        <v>531</v>
      </c>
    </row>
    <row r="38">
      <c r="A38" s="287" t="s">
        <v>87</v>
      </c>
      <c r="B38" s="287"/>
      <c r="C38" s="70"/>
      <c r="D38" s="288"/>
      <c r="E38" s="289"/>
      <c r="F38" s="70"/>
    </row>
    <row r="39">
      <c r="A39" s="287"/>
      <c r="B39" s="76" t="s">
        <v>532</v>
      </c>
      <c r="C39" s="70" t="s">
        <v>533</v>
      </c>
      <c r="D39" s="288" t="s">
        <v>534</v>
      </c>
      <c r="E39" s="289"/>
      <c r="F39" s="70" t="s">
        <v>531</v>
      </c>
    </row>
    <row r="40">
      <c r="A40" s="287"/>
      <c r="B40" s="287" t="s">
        <v>535</v>
      </c>
      <c r="C40" s="70" t="s">
        <v>536</v>
      </c>
      <c r="D40" s="288" t="s">
        <v>534</v>
      </c>
      <c r="E40" s="289"/>
      <c r="F40" s="70" t="s">
        <v>529</v>
      </c>
    </row>
    <row r="41">
      <c r="A41" s="287"/>
      <c r="B41" s="336" t="s">
        <v>537</v>
      </c>
      <c r="C41" s="70" t="s">
        <v>538</v>
      </c>
      <c r="D41" s="288" t="s">
        <v>534</v>
      </c>
      <c r="E41" s="289"/>
      <c r="F41" s="70" t="s">
        <v>539</v>
      </c>
    </row>
    <row r="42">
      <c r="A42" s="337"/>
      <c r="B42" s="76" t="s">
        <v>540</v>
      </c>
      <c r="C42" s="70" t="s">
        <v>541</v>
      </c>
      <c r="D42" s="288" t="s">
        <v>91</v>
      </c>
      <c r="E42" s="289"/>
      <c r="F42" s="70" t="s">
        <v>542</v>
      </c>
    </row>
    <row r="43">
      <c r="A43" s="337"/>
      <c r="B43" s="76" t="s">
        <v>543</v>
      </c>
      <c r="C43" s="70" t="s">
        <v>544</v>
      </c>
      <c r="D43" s="288" t="s">
        <v>93</v>
      </c>
      <c r="E43" s="289"/>
      <c r="F43" s="70" t="s">
        <v>545</v>
      </c>
    </row>
    <row r="44">
      <c r="A44" s="337"/>
      <c r="B44" s="76" t="s">
        <v>546</v>
      </c>
      <c r="C44" s="70" t="s">
        <v>547</v>
      </c>
      <c r="D44" s="288" t="s">
        <v>93</v>
      </c>
      <c r="E44" s="289"/>
      <c r="F44" s="70" t="s">
        <v>545</v>
      </c>
    </row>
    <row r="45">
      <c r="A45" s="337"/>
      <c r="B45" s="76" t="s">
        <v>548</v>
      </c>
      <c r="C45" s="70" t="s">
        <v>549</v>
      </c>
      <c r="D45" s="288" t="s">
        <v>95</v>
      </c>
      <c r="E45" s="289"/>
      <c r="F45" s="70" t="s">
        <v>545</v>
      </c>
    </row>
    <row r="46">
      <c r="A46" s="337"/>
      <c r="B46" s="76" t="s">
        <v>550</v>
      </c>
      <c r="C46" s="70" t="s">
        <v>551</v>
      </c>
      <c r="D46" s="288" t="s">
        <v>552</v>
      </c>
      <c r="E46" s="289"/>
      <c r="F46" s="70"/>
    </row>
    <row r="47">
      <c r="A47" s="337"/>
      <c r="B47" s="76" t="s">
        <v>553</v>
      </c>
      <c r="C47" s="70" t="s">
        <v>554</v>
      </c>
      <c r="D47" s="288" t="s">
        <v>93</v>
      </c>
      <c r="E47" s="289"/>
      <c r="F47" s="70" t="s">
        <v>545</v>
      </c>
    </row>
    <row r="48">
      <c r="A48" s="338" t="s">
        <v>119</v>
      </c>
      <c r="B48" s="338" t="s">
        <v>204</v>
      </c>
      <c r="C48" s="339" t="s">
        <v>555</v>
      </c>
      <c r="D48" s="340" t="s">
        <v>556</v>
      </c>
      <c r="E48" s="341"/>
      <c r="F48" s="341"/>
    </row>
    <row r="49">
      <c r="A49" s="342"/>
      <c r="B49" s="341"/>
      <c r="C49" s="341" t="s">
        <v>521</v>
      </c>
      <c r="D49" s="340" t="s">
        <v>557</v>
      </c>
      <c r="E49" s="341"/>
      <c r="F49" s="341"/>
    </row>
    <row r="50">
      <c r="A50" s="342"/>
      <c r="B50" s="343"/>
      <c r="C50" s="341"/>
      <c r="D50" s="340"/>
      <c r="E50" s="341"/>
      <c r="F50" s="341"/>
    </row>
    <row r="51">
      <c r="A51" s="342"/>
      <c r="B51" s="343"/>
      <c r="C51" s="341"/>
      <c r="D51" s="340"/>
      <c r="E51" s="341"/>
      <c r="F51" s="341"/>
    </row>
    <row r="52">
      <c r="A52" s="342"/>
      <c r="B52" s="343"/>
      <c r="C52" s="341"/>
      <c r="D52" s="340"/>
      <c r="E52" s="341"/>
      <c r="F52" s="341"/>
    </row>
    <row r="53">
      <c r="A53" s="302" t="s">
        <v>100</v>
      </c>
      <c r="B53" s="253"/>
      <c r="C53" s="253"/>
      <c r="D53" s="307"/>
      <c r="E53" s="253"/>
      <c r="F53" s="253"/>
    </row>
    <row r="54">
      <c r="A54" s="344"/>
      <c r="B54" s="255"/>
      <c r="C54" s="255"/>
      <c r="D54" s="303"/>
      <c r="E54" s="255"/>
      <c r="F54" s="255"/>
    </row>
    <row r="55">
      <c r="A55" s="344"/>
      <c r="B55" s="302" t="s">
        <v>558</v>
      </c>
      <c r="C55" s="255"/>
      <c r="D55" s="303"/>
      <c r="E55" s="255"/>
      <c r="F55" s="255"/>
    </row>
    <row r="56">
      <c r="A56" s="344"/>
      <c r="B56" s="253"/>
      <c r="C56" s="255"/>
      <c r="D56" s="303"/>
      <c r="E56" s="255"/>
      <c r="F56" s="255"/>
    </row>
    <row r="57">
      <c r="A57" s="344"/>
      <c r="B57" s="302" t="s">
        <v>559</v>
      </c>
      <c r="C57" s="255"/>
      <c r="D57" s="345"/>
      <c r="E57" s="346"/>
      <c r="F57" s="306"/>
    </row>
    <row r="58">
      <c r="A58" s="347"/>
      <c r="D58" s="273"/>
    </row>
    <row r="59">
      <c r="A59" s="347"/>
      <c r="D59" s="273"/>
    </row>
    <row r="60">
      <c r="A60" s="347"/>
      <c r="D60" s="273"/>
    </row>
    <row r="61">
      <c r="A61" s="347"/>
      <c r="D61" s="273"/>
    </row>
    <row r="62">
      <c r="A62" s="347"/>
      <c r="D62" s="273"/>
    </row>
    <row r="63">
      <c r="A63" s="347"/>
      <c r="D63" s="273"/>
    </row>
    <row r="64">
      <c r="A64" s="347"/>
      <c r="D64" s="273"/>
    </row>
    <row r="65">
      <c r="D65" s="273"/>
    </row>
    <row r="66">
      <c r="D66" s="273"/>
    </row>
    <row r="67">
      <c r="D67" s="273"/>
    </row>
    <row r="68">
      <c r="D68" s="273"/>
    </row>
    <row r="69">
      <c r="D69" s="273"/>
    </row>
    <row r="70">
      <c r="D70" s="273"/>
    </row>
    <row r="71">
      <c r="D71" s="273"/>
    </row>
    <row r="72">
      <c r="D72" s="273"/>
    </row>
    <row r="73">
      <c r="D73" s="273"/>
    </row>
    <row r="74">
      <c r="D74" s="273"/>
    </row>
    <row r="75">
      <c r="D75" s="273"/>
    </row>
    <row r="76">
      <c r="D76" s="273"/>
    </row>
    <row r="77">
      <c r="D77" s="273"/>
    </row>
    <row r="78">
      <c r="D78" s="273"/>
    </row>
    <row r="79">
      <c r="D79" s="273"/>
    </row>
    <row r="80">
      <c r="D80" s="273"/>
    </row>
    <row r="81">
      <c r="D81" s="273"/>
    </row>
    <row r="82">
      <c r="D82" s="273"/>
    </row>
    <row r="83">
      <c r="D83" s="273"/>
    </row>
    <row r="84">
      <c r="D84" s="273"/>
    </row>
    <row r="85">
      <c r="D85" s="273"/>
    </row>
    <row r="86">
      <c r="D86" s="273"/>
    </row>
    <row r="87">
      <c r="D87" s="273"/>
    </row>
    <row r="88">
      <c r="D88" s="273"/>
    </row>
    <row r="89">
      <c r="D89" s="273"/>
    </row>
    <row r="90">
      <c r="D90" s="273"/>
    </row>
    <row r="91">
      <c r="D91" s="273"/>
    </row>
    <row r="92">
      <c r="D92" s="273"/>
    </row>
    <row r="93">
      <c r="D93" s="273"/>
    </row>
    <row r="94">
      <c r="D94" s="273"/>
    </row>
    <row r="95">
      <c r="D95" s="273"/>
    </row>
    <row r="96">
      <c r="D96" s="273"/>
    </row>
    <row r="97">
      <c r="D97" s="273"/>
    </row>
    <row r="98">
      <c r="D98" s="273"/>
    </row>
    <row r="99">
      <c r="D99" s="273"/>
    </row>
    <row r="100">
      <c r="D100" s="273"/>
    </row>
    <row r="101">
      <c r="D101" s="273"/>
    </row>
    <row r="102">
      <c r="D102" s="273"/>
    </row>
    <row r="103">
      <c r="D103" s="273"/>
    </row>
    <row r="104">
      <c r="D104" s="273"/>
    </row>
    <row r="105">
      <c r="D105" s="273"/>
    </row>
    <row r="106">
      <c r="D106" s="273"/>
    </row>
    <row r="107">
      <c r="D107" s="273"/>
    </row>
    <row r="108">
      <c r="D108" s="273"/>
    </row>
    <row r="109">
      <c r="D109" s="273"/>
    </row>
    <row r="110">
      <c r="D110" s="273"/>
    </row>
    <row r="111">
      <c r="D111" s="273"/>
    </row>
    <row r="112">
      <c r="D112" s="273"/>
    </row>
    <row r="113">
      <c r="D113" s="273"/>
    </row>
    <row r="114">
      <c r="D114" s="273"/>
    </row>
    <row r="115">
      <c r="D115" s="273"/>
    </row>
    <row r="116">
      <c r="D116" s="273"/>
    </row>
    <row r="117">
      <c r="D117" s="273"/>
    </row>
    <row r="118">
      <c r="D118" s="273"/>
    </row>
    <row r="119">
      <c r="D119" s="273"/>
    </row>
    <row r="120">
      <c r="D120" s="273"/>
    </row>
    <row r="121">
      <c r="D121" s="273"/>
    </row>
    <row r="122">
      <c r="D122" s="273"/>
    </row>
    <row r="123">
      <c r="D123" s="273"/>
    </row>
    <row r="124">
      <c r="D124" s="273"/>
    </row>
    <row r="125">
      <c r="D125" s="273"/>
    </row>
    <row r="126">
      <c r="D126" s="273"/>
    </row>
    <row r="127">
      <c r="D127" s="273"/>
    </row>
    <row r="128">
      <c r="D128" s="273"/>
    </row>
    <row r="129">
      <c r="D129" s="273"/>
    </row>
    <row r="130">
      <c r="D130" s="273"/>
    </row>
    <row r="131">
      <c r="D131" s="273"/>
    </row>
    <row r="132">
      <c r="D132" s="273"/>
    </row>
    <row r="133">
      <c r="D133" s="273"/>
    </row>
    <row r="134">
      <c r="D134" s="273"/>
    </row>
    <row r="135">
      <c r="D135" s="273"/>
    </row>
    <row r="136">
      <c r="D136" s="273"/>
    </row>
    <row r="137">
      <c r="D137" s="273"/>
    </row>
    <row r="138">
      <c r="D138" s="273"/>
    </row>
    <row r="139">
      <c r="D139" s="273"/>
    </row>
    <row r="140">
      <c r="D140" s="273"/>
    </row>
    <row r="141">
      <c r="D141" s="273"/>
    </row>
    <row r="142">
      <c r="D142" s="273"/>
    </row>
    <row r="143">
      <c r="D143" s="273"/>
    </row>
    <row r="144">
      <c r="D144" s="273"/>
    </row>
    <row r="145">
      <c r="D145" s="273"/>
    </row>
    <row r="146">
      <c r="D146" s="273"/>
    </row>
    <row r="147">
      <c r="D147" s="273"/>
    </row>
    <row r="148">
      <c r="D148" s="273"/>
    </row>
    <row r="149">
      <c r="D149" s="273"/>
    </row>
    <row r="150">
      <c r="D150" s="273"/>
    </row>
    <row r="151">
      <c r="D151" s="273"/>
    </row>
    <row r="152">
      <c r="D152" s="273"/>
    </row>
    <row r="153">
      <c r="D153" s="273"/>
    </row>
    <row r="154">
      <c r="D154" s="273"/>
    </row>
    <row r="155">
      <c r="D155" s="273"/>
    </row>
    <row r="156">
      <c r="D156" s="273"/>
    </row>
    <row r="157">
      <c r="D157" s="273"/>
    </row>
    <row r="158">
      <c r="D158" s="273"/>
    </row>
    <row r="159">
      <c r="D159" s="273"/>
    </row>
    <row r="160">
      <c r="D160" s="273"/>
    </row>
    <row r="161">
      <c r="D161" s="273"/>
    </row>
    <row r="162">
      <c r="D162" s="273"/>
    </row>
    <row r="163">
      <c r="D163" s="273"/>
    </row>
    <row r="164">
      <c r="D164" s="273"/>
    </row>
    <row r="165">
      <c r="D165" s="273"/>
    </row>
    <row r="166">
      <c r="D166" s="273"/>
    </row>
    <row r="167">
      <c r="D167" s="273"/>
    </row>
    <row r="168">
      <c r="D168" s="273"/>
    </row>
    <row r="169">
      <c r="D169" s="273"/>
    </row>
    <row r="170">
      <c r="D170" s="273"/>
    </row>
    <row r="171">
      <c r="D171" s="273"/>
    </row>
    <row r="172">
      <c r="D172" s="273"/>
    </row>
    <row r="173">
      <c r="D173" s="273"/>
    </row>
    <row r="174">
      <c r="D174" s="273"/>
    </row>
    <row r="175">
      <c r="D175" s="273"/>
    </row>
    <row r="176">
      <c r="D176" s="273"/>
    </row>
    <row r="177">
      <c r="D177" s="273"/>
    </row>
    <row r="178">
      <c r="D178" s="273"/>
    </row>
    <row r="179">
      <c r="D179" s="273"/>
    </row>
    <row r="180">
      <c r="D180" s="273"/>
    </row>
    <row r="181">
      <c r="D181" s="273"/>
    </row>
    <row r="182">
      <c r="D182" s="273"/>
    </row>
    <row r="183">
      <c r="D183" s="273"/>
    </row>
    <row r="184">
      <c r="D184" s="273"/>
    </row>
    <row r="185">
      <c r="D185" s="273"/>
    </row>
    <row r="186">
      <c r="D186" s="273"/>
    </row>
    <row r="187">
      <c r="D187" s="273"/>
    </row>
    <row r="188">
      <c r="D188" s="273"/>
    </row>
    <row r="189">
      <c r="D189" s="273"/>
    </row>
    <row r="190">
      <c r="D190" s="273"/>
    </row>
    <row r="191">
      <c r="D191" s="273"/>
    </row>
    <row r="192">
      <c r="D192" s="273"/>
    </row>
    <row r="193">
      <c r="D193" s="273"/>
    </row>
    <row r="194">
      <c r="D194" s="273"/>
    </row>
    <row r="195">
      <c r="D195" s="273"/>
    </row>
    <row r="196">
      <c r="D196" s="273"/>
    </row>
    <row r="197">
      <c r="D197" s="273"/>
    </row>
    <row r="198">
      <c r="D198" s="273"/>
    </row>
    <row r="199">
      <c r="D199" s="273"/>
    </row>
    <row r="200">
      <c r="D200" s="273"/>
    </row>
    <row r="201">
      <c r="D201" s="273"/>
    </row>
    <row r="202">
      <c r="D202" s="273"/>
    </row>
    <row r="203">
      <c r="D203" s="273"/>
    </row>
    <row r="204">
      <c r="D204" s="273"/>
    </row>
    <row r="205">
      <c r="D205" s="273"/>
    </row>
    <row r="206">
      <c r="D206" s="273"/>
    </row>
    <row r="207">
      <c r="D207" s="273"/>
    </row>
    <row r="208">
      <c r="D208" s="273"/>
    </row>
    <row r="209">
      <c r="D209" s="273"/>
    </row>
    <row r="210">
      <c r="D210" s="273"/>
    </row>
    <row r="211">
      <c r="D211" s="273"/>
    </row>
    <row r="212">
      <c r="D212" s="273"/>
    </row>
    <row r="213">
      <c r="D213" s="273"/>
    </row>
    <row r="214">
      <c r="D214" s="273"/>
    </row>
    <row r="215">
      <c r="D215" s="273"/>
    </row>
    <row r="216">
      <c r="D216" s="273"/>
    </row>
    <row r="217">
      <c r="D217" s="273"/>
    </row>
    <row r="218">
      <c r="D218" s="273"/>
    </row>
    <row r="219">
      <c r="D219" s="273"/>
    </row>
    <row r="220">
      <c r="D220" s="273"/>
    </row>
    <row r="221">
      <c r="D221" s="273"/>
    </row>
    <row r="222">
      <c r="D222" s="273"/>
    </row>
    <row r="223">
      <c r="D223" s="273"/>
    </row>
    <row r="224">
      <c r="D224" s="273"/>
    </row>
    <row r="225">
      <c r="D225" s="273"/>
    </row>
    <row r="226">
      <c r="D226" s="273"/>
    </row>
    <row r="227">
      <c r="D227" s="273"/>
    </row>
    <row r="228">
      <c r="D228" s="273"/>
    </row>
    <row r="229">
      <c r="D229" s="273"/>
    </row>
    <row r="230">
      <c r="D230" s="273"/>
    </row>
    <row r="231">
      <c r="D231" s="273"/>
    </row>
    <row r="232">
      <c r="D232" s="273"/>
    </row>
    <row r="233">
      <c r="D233" s="273"/>
    </row>
    <row r="234">
      <c r="D234" s="273"/>
    </row>
    <row r="235">
      <c r="D235" s="273"/>
    </row>
    <row r="236">
      <c r="D236" s="273"/>
    </row>
    <row r="237">
      <c r="D237" s="273"/>
    </row>
    <row r="238">
      <c r="D238" s="273"/>
    </row>
    <row r="239">
      <c r="D239" s="273"/>
    </row>
    <row r="240">
      <c r="D240" s="273"/>
    </row>
    <row r="241">
      <c r="D241" s="273"/>
    </row>
    <row r="242">
      <c r="D242" s="273"/>
    </row>
    <row r="243">
      <c r="D243" s="273"/>
    </row>
    <row r="244">
      <c r="D244" s="273"/>
    </row>
    <row r="245">
      <c r="D245" s="273"/>
    </row>
    <row r="246">
      <c r="D246" s="273"/>
    </row>
    <row r="247">
      <c r="D247" s="273"/>
    </row>
    <row r="248">
      <c r="D248" s="273"/>
    </row>
    <row r="249">
      <c r="D249" s="273"/>
    </row>
    <row r="250">
      <c r="D250" s="273"/>
    </row>
    <row r="251">
      <c r="D251" s="273"/>
    </row>
    <row r="252">
      <c r="D252" s="273"/>
    </row>
    <row r="253">
      <c r="D253" s="273"/>
    </row>
    <row r="254">
      <c r="D254" s="273"/>
    </row>
    <row r="255">
      <c r="D255" s="273"/>
    </row>
    <row r="256">
      <c r="D256" s="273"/>
    </row>
    <row r="257">
      <c r="D257" s="273"/>
    </row>
    <row r="258">
      <c r="D258" s="273"/>
    </row>
    <row r="259">
      <c r="D259" s="273"/>
    </row>
    <row r="260">
      <c r="D260" s="273"/>
    </row>
    <row r="261">
      <c r="D261" s="273"/>
    </row>
    <row r="262">
      <c r="D262" s="273"/>
    </row>
    <row r="263">
      <c r="D263" s="273"/>
    </row>
    <row r="264">
      <c r="D264" s="273"/>
    </row>
    <row r="265">
      <c r="D265" s="273"/>
    </row>
    <row r="266">
      <c r="D266" s="273"/>
    </row>
    <row r="267">
      <c r="D267" s="273"/>
    </row>
    <row r="268">
      <c r="D268" s="273"/>
    </row>
    <row r="269">
      <c r="D269" s="273"/>
    </row>
    <row r="270">
      <c r="D270" s="273"/>
    </row>
    <row r="271">
      <c r="D271" s="273"/>
    </row>
    <row r="272">
      <c r="D272" s="273"/>
    </row>
    <row r="273">
      <c r="D273" s="273"/>
    </row>
    <row r="274">
      <c r="D274" s="273"/>
    </row>
    <row r="275">
      <c r="D275" s="273"/>
    </row>
    <row r="276">
      <c r="D276" s="273"/>
    </row>
    <row r="277">
      <c r="D277" s="273"/>
    </row>
    <row r="278">
      <c r="D278" s="273"/>
    </row>
    <row r="279">
      <c r="D279" s="273"/>
    </row>
    <row r="280">
      <c r="D280" s="273"/>
    </row>
    <row r="281">
      <c r="D281" s="273"/>
    </row>
    <row r="282">
      <c r="D282" s="273"/>
    </row>
    <row r="283">
      <c r="D283" s="273"/>
    </row>
    <row r="284">
      <c r="D284" s="273"/>
    </row>
    <row r="285">
      <c r="D285" s="273"/>
    </row>
    <row r="286">
      <c r="D286" s="273"/>
    </row>
    <row r="287">
      <c r="D287" s="273"/>
    </row>
    <row r="288">
      <c r="D288" s="273"/>
    </row>
    <row r="289">
      <c r="D289" s="273"/>
    </row>
    <row r="290">
      <c r="D290" s="273"/>
    </row>
    <row r="291">
      <c r="D291" s="273"/>
    </row>
    <row r="292">
      <c r="D292" s="273"/>
    </row>
    <row r="293">
      <c r="D293" s="273"/>
    </row>
    <row r="294">
      <c r="D294" s="273"/>
    </row>
    <row r="295">
      <c r="D295" s="273"/>
    </row>
    <row r="296">
      <c r="D296" s="273"/>
    </row>
    <row r="297">
      <c r="D297" s="273"/>
    </row>
    <row r="298">
      <c r="D298" s="273"/>
    </row>
    <row r="299">
      <c r="D299" s="273"/>
    </row>
    <row r="300">
      <c r="D300" s="273"/>
    </row>
    <row r="301">
      <c r="D301" s="273"/>
    </row>
    <row r="302">
      <c r="D302" s="273"/>
    </row>
    <row r="303">
      <c r="D303" s="273"/>
    </row>
    <row r="304">
      <c r="D304" s="273"/>
    </row>
    <row r="305">
      <c r="D305" s="273"/>
    </row>
    <row r="306">
      <c r="D306" s="273"/>
    </row>
    <row r="307">
      <c r="D307" s="273"/>
    </row>
    <row r="308">
      <c r="D308" s="273"/>
    </row>
    <row r="309">
      <c r="D309" s="273"/>
    </row>
    <row r="310">
      <c r="D310" s="273"/>
    </row>
    <row r="311">
      <c r="D311" s="273"/>
    </row>
    <row r="312">
      <c r="D312" s="273"/>
    </row>
    <row r="313">
      <c r="D313" s="273"/>
    </row>
    <row r="314">
      <c r="D314" s="273"/>
    </row>
    <row r="315">
      <c r="D315" s="273"/>
    </row>
    <row r="316">
      <c r="D316" s="273"/>
    </row>
    <row r="317">
      <c r="D317" s="273"/>
    </row>
    <row r="318">
      <c r="D318" s="273"/>
    </row>
    <row r="319">
      <c r="D319" s="273"/>
    </row>
    <row r="320">
      <c r="D320" s="273"/>
    </row>
    <row r="321">
      <c r="D321" s="273"/>
    </row>
    <row r="322">
      <c r="D322" s="273"/>
    </row>
    <row r="323">
      <c r="D323" s="273"/>
    </row>
    <row r="324">
      <c r="D324" s="273"/>
    </row>
    <row r="325">
      <c r="D325" s="273"/>
    </row>
    <row r="326">
      <c r="D326" s="273"/>
    </row>
    <row r="327">
      <c r="D327" s="273"/>
    </row>
    <row r="328">
      <c r="D328" s="273"/>
    </row>
    <row r="329">
      <c r="D329" s="273"/>
    </row>
    <row r="330">
      <c r="D330" s="273"/>
    </row>
    <row r="331">
      <c r="D331" s="273"/>
    </row>
    <row r="332">
      <c r="D332" s="273"/>
    </row>
    <row r="333">
      <c r="D333" s="273"/>
    </row>
    <row r="334">
      <c r="D334" s="273"/>
    </row>
    <row r="335">
      <c r="D335" s="273"/>
    </row>
    <row r="336">
      <c r="D336" s="273"/>
    </row>
    <row r="337">
      <c r="D337" s="273"/>
    </row>
    <row r="338">
      <c r="D338" s="273"/>
    </row>
    <row r="339">
      <c r="D339" s="273"/>
    </row>
    <row r="340">
      <c r="D340" s="273"/>
    </row>
    <row r="341">
      <c r="D341" s="273"/>
    </row>
    <row r="342">
      <c r="D342" s="273"/>
    </row>
    <row r="343">
      <c r="D343" s="273"/>
    </row>
    <row r="344">
      <c r="D344" s="273"/>
    </row>
    <row r="345">
      <c r="D345" s="273"/>
    </row>
    <row r="346">
      <c r="D346" s="273"/>
    </row>
    <row r="347">
      <c r="D347" s="273"/>
    </row>
    <row r="348">
      <c r="D348" s="273"/>
    </row>
    <row r="349">
      <c r="D349" s="273"/>
    </row>
    <row r="350">
      <c r="D350" s="273"/>
    </row>
    <row r="351">
      <c r="D351" s="273"/>
    </row>
    <row r="352">
      <c r="D352" s="273"/>
    </row>
    <row r="353">
      <c r="D353" s="273"/>
    </row>
    <row r="354">
      <c r="D354" s="273"/>
    </row>
    <row r="355">
      <c r="D355" s="273"/>
    </row>
    <row r="356">
      <c r="D356" s="273"/>
    </row>
    <row r="357">
      <c r="D357" s="273"/>
    </row>
    <row r="358">
      <c r="D358" s="273"/>
    </row>
    <row r="359">
      <c r="D359" s="273"/>
    </row>
    <row r="360">
      <c r="D360" s="273"/>
    </row>
    <row r="361">
      <c r="D361" s="273"/>
    </row>
    <row r="362">
      <c r="D362" s="273"/>
    </row>
    <row r="363">
      <c r="D363" s="273"/>
    </row>
    <row r="364">
      <c r="D364" s="273"/>
    </row>
    <row r="365">
      <c r="D365" s="273"/>
    </row>
    <row r="366">
      <c r="D366" s="273"/>
    </row>
    <row r="367">
      <c r="D367" s="273"/>
    </row>
    <row r="368">
      <c r="D368" s="273"/>
    </row>
    <row r="369">
      <c r="D369" s="273"/>
    </row>
    <row r="370">
      <c r="D370" s="273"/>
    </row>
    <row r="371">
      <c r="D371" s="273"/>
    </row>
    <row r="372">
      <c r="D372" s="273"/>
    </row>
    <row r="373">
      <c r="D373" s="273"/>
    </row>
    <row r="374">
      <c r="D374" s="273"/>
    </row>
    <row r="375">
      <c r="D375" s="273"/>
    </row>
    <row r="376">
      <c r="D376" s="273"/>
    </row>
    <row r="377">
      <c r="D377" s="273"/>
    </row>
    <row r="378">
      <c r="D378" s="273"/>
    </row>
    <row r="379">
      <c r="D379" s="273"/>
    </row>
    <row r="380">
      <c r="D380" s="273"/>
    </row>
    <row r="381">
      <c r="D381" s="273"/>
    </row>
    <row r="382">
      <c r="D382" s="273"/>
    </row>
    <row r="383">
      <c r="D383" s="273"/>
    </row>
    <row r="384">
      <c r="D384" s="273"/>
    </row>
    <row r="385">
      <c r="D385" s="273"/>
    </row>
    <row r="386">
      <c r="D386" s="273"/>
    </row>
    <row r="387">
      <c r="D387" s="273"/>
    </row>
    <row r="388">
      <c r="D388" s="273"/>
    </row>
    <row r="389">
      <c r="D389" s="273"/>
    </row>
    <row r="390">
      <c r="D390" s="273"/>
    </row>
    <row r="391">
      <c r="D391" s="273"/>
    </row>
    <row r="392">
      <c r="D392" s="273"/>
    </row>
    <row r="393">
      <c r="D393" s="273"/>
    </row>
    <row r="394">
      <c r="D394" s="273"/>
    </row>
    <row r="395">
      <c r="D395" s="273"/>
    </row>
    <row r="396">
      <c r="D396" s="273"/>
    </row>
    <row r="397">
      <c r="D397" s="273"/>
    </row>
    <row r="398">
      <c r="D398" s="273"/>
    </row>
    <row r="399">
      <c r="D399" s="273"/>
    </row>
    <row r="400">
      <c r="D400" s="273"/>
    </row>
    <row r="401">
      <c r="D401" s="273"/>
    </row>
    <row r="402">
      <c r="D402" s="273"/>
    </row>
    <row r="403">
      <c r="D403" s="273"/>
    </row>
    <row r="404">
      <c r="D404" s="273"/>
    </row>
    <row r="405">
      <c r="D405" s="273"/>
    </row>
    <row r="406">
      <c r="D406" s="273"/>
    </row>
    <row r="407">
      <c r="D407" s="273"/>
    </row>
    <row r="408">
      <c r="D408" s="273"/>
    </row>
    <row r="409">
      <c r="D409" s="273"/>
    </row>
    <row r="410">
      <c r="D410" s="273"/>
    </row>
    <row r="411">
      <c r="D411" s="273"/>
    </row>
    <row r="412">
      <c r="D412" s="273"/>
    </row>
    <row r="413">
      <c r="D413" s="273"/>
    </row>
    <row r="414">
      <c r="D414" s="273"/>
    </row>
    <row r="415">
      <c r="D415" s="273"/>
    </row>
    <row r="416">
      <c r="D416" s="273"/>
    </row>
    <row r="417">
      <c r="D417" s="273"/>
    </row>
    <row r="418">
      <c r="D418" s="273"/>
    </row>
    <row r="419">
      <c r="D419" s="273"/>
    </row>
    <row r="420">
      <c r="D420" s="273"/>
    </row>
    <row r="421">
      <c r="D421" s="273"/>
    </row>
    <row r="422">
      <c r="D422" s="273"/>
    </row>
    <row r="423">
      <c r="D423" s="273"/>
    </row>
    <row r="424">
      <c r="D424" s="273"/>
    </row>
    <row r="425">
      <c r="D425" s="273"/>
    </row>
    <row r="426">
      <c r="D426" s="273"/>
    </row>
    <row r="427">
      <c r="D427" s="273"/>
    </row>
    <row r="428">
      <c r="D428" s="273"/>
    </row>
    <row r="429">
      <c r="D429" s="273"/>
    </row>
    <row r="430">
      <c r="D430" s="273"/>
    </row>
    <row r="431">
      <c r="D431" s="273"/>
    </row>
    <row r="432">
      <c r="D432" s="273"/>
    </row>
    <row r="433">
      <c r="D433" s="273"/>
    </row>
    <row r="434">
      <c r="D434" s="273"/>
    </row>
    <row r="435">
      <c r="D435" s="273"/>
    </row>
    <row r="436">
      <c r="D436" s="273"/>
    </row>
    <row r="437">
      <c r="D437" s="273"/>
    </row>
    <row r="438">
      <c r="D438" s="273"/>
    </row>
    <row r="439">
      <c r="D439" s="273"/>
    </row>
    <row r="440">
      <c r="D440" s="273"/>
    </row>
    <row r="441">
      <c r="D441" s="273"/>
    </row>
    <row r="442">
      <c r="D442" s="273"/>
    </row>
    <row r="443">
      <c r="D443" s="273"/>
    </row>
    <row r="444">
      <c r="D444" s="273"/>
    </row>
    <row r="445">
      <c r="D445" s="273"/>
    </row>
    <row r="446">
      <c r="D446" s="273"/>
    </row>
    <row r="447">
      <c r="D447" s="273"/>
    </row>
    <row r="448">
      <c r="D448" s="273"/>
    </row>
    <row r="449">
      <c r="D449" s="273"/>
    </row>
    <row r="450">
      <c r="D450" s="273"/>
    </row>
    <row r="451">
      <c r="D451" s="273"/>
    </row>
    <row r="452">
      <c r="D452" s="273"/>
    </row>
    <row r="453">
      <c r="D453" s="273"/>
    </row>
    <row r="454">
      <c r="D454" s="273"/>
    </row>
    <row r="455">
      <c r="D455" s="273"/>
    </row>
    <row r="456">
      <c r="D456" s="273"/>
    </row>
    <row r="457">
      <c r="D457" s="273"/>
    </row>
    <row r="458">
      <c r="D458" s="273"/>
    </row>
    <row r="459">
      <c r="D459" s="273"/>
    </row>
    <row r="460">
      <c r="D460" s="273"/>
    </row>
    <row r="461">
      <c r="D461" s="273"/>
    </row>
    <row r="462">
      <c r="D462" s="273"/>
    </row>
    <row r="463">
      <c r="D463" s="273"/>
    </row>
    <row r="464">
      <c r="D464" s="273"/>
    </row>
    <row r="465">
      <c r="D465" s="273"/>
    </row>
    <row r="466">
      <c r="D466" s="273"/>
    </row>
    <row r="467">
      <c r="D467" s="273"/>
    </row>
    <row r="468">
      <c r="D468" s="273"/>
    </row>
    <row r="469">
      <c r="D469" s="273"/>
    </row>
    <row r="470">
      <c r="D470" s="273"/>
    </row>
    <row r="471">
      <c r="D471" s="273"/>
    </row>
    <row r="472">
      <c r="D472" s="273"/>
    </row>
    <row r="473">
      <c r="D473" s="273"/>
    </row>
    <row r="474">
      <c r="D474" s="273"/>
    </row>
    <row r="475">
      <c r="D475" s="273"/>
    </row>
    <row r="476">
      <c r="D476" s="273"/>
    </row>
    <row r="477">
      <c r="D477" s="273"/>
    </row>
    <row r="478">
      <c r="D478" s="273"/>
    </row>
    <row r="479">
      <c r="D479" s="273"/>
    </row>
    <row r="480">
      <c r="D480" s="273"/>
    </row>
    <row r="481">
      <c r="D481" s="273"/>
    </row>
    <row r="482">
      <c r="D482" s="273"/>
    </row>
    <row r="483">
      <c r="D483" s="273"/>
    </row>
    <row r="484">
      <c r="D484" s="273"/>
    </row>
    <row r="485">
      <c r="D485" s="273"/>
    </row>
    <row r="486">
      <c r="D486" s="273"/>
    </row>
    <row r="487">
      <c r="D487" s="273"/>
    </row>
    <row r="488">
      <c r="D488" s="273"/>
    </row>
    <row r="489">
      <c r="D489" s="273"/>
    </row>
    <row r="490">
      <c r="D490" s="273"/>
    </row>
    <row r="491">
      <c r="D491" s="273"/>
    </row>
    <row r="492">
      <c r="D492" s="273"/>
    </row>
    <row r="493">
      <c r="D493" s="273"/>
    </row>
    <row r="494">
      <c r="D494" s="273"/>
    </row>
    <row r="495">
      <c r="D495" s="273"/>
    </row>
    <row r="496">
      <c r="D496" s="273"/>
    </row>
    <row r="497">
      <c r="D497" s="273"/>
    </row>
    <row r="498">
      <c r="D498" s="273"/>
    </row>
    <row r="499">
      <c r="D499" s="273"/>
    </row>
    <row r="500">
      <c r="D500" s="273"/>
    </row>
    <row r="501">
      <c r="D501" s="273"/>
    </row>
    <row r="502">
      <c r="D502" s="273"/>
    </row>
    <row r="503">
      <c r="D503" s="273"/>
    </row>
    <row r="504">
      <c r="D504" s="273"/>
    </row>
    <row r="505">
      <c r="D505" s="273"/>
    </row>
    <row r="506">
      <c r="D506" s="273"/>
    </row>
    <row r="507">
      <c r="D507" s="273"/>
    </row>
    <row r="508">
      <c r="D508" s="273"/>
    </row>
    <row r="509">
      <c r="D509" s="273"/>
    </row>
    <row r="510">
      <c r="D510" s="273"/>
    </row>
    <row r="511">
      <c r="D511" s="273"/>
    </row>
    <row r="512">
      <c r="D512" s="273"/>
    </row>
    <row r="513">
      <c r="D513" s="273"/>
    </row>
    <row r="514">
      <c r="D514" s="273"/>
    </row>
    <row r="515">
      <c r="D515" s="273"/>
    </row>
    <row r="516">
      <c r="D516" s="273"/>
    </row>
    <row r="517">
      <c r="D517" s="273"/>
    </row>
    <row r="518">
      <c r="D518" s="273"/>
    </row>
    <row r="519">
      <c r="D519" s="273"/>
    </row>
    <row r="520">
      <c r="D520" s="273"/>
    </row>
    <row r="521">
      <c r="D521" s="273"/>
    </row>
    <row r="522">
      <c r="D522" s="273"/>
    </row>
    <row r="523">
      <c r="D523" s="273"/>
    </row>
    <row r="524">
      <c r="D524" s="273"/>
    </row>
    <row r="525">
      <c r="D525" s="273"/>
    </row>
    <row r="526">
      <c r="D526" s="273"/>
    </row>
    <row r="527">
      <c r="D527" s="273"/>
    </row>
    <row r="528">
      <c r="D528" s="273"/>
    </row>
    <row r="529">
      <c r="D529" s="273"/>
    </row>
    <row r="530">
      <c r="D530" s="273"/>
    </row>
    <row r="531">
      <c r="D531" s="273"/>
    </row>
    <row r="532">
      <c r="D532" s="273"/>
    </row>
    <row r="533">
      <c r="D533" s="273"/>
    </row>
    <row r="534">
      <c r="D534" s="273"/>
    </row>
    <row r="535">
      <c r="D535" s="273"/>
    </row>
    <row r="536">
      <c r="D536" s="273"/>
    </row>
    <row r="537">
      <c r="D537" s="273"/>
    </row>
    <row r="538">
      <c r="D538" s="273"/>
    </row>
    <row r="539">
      <c r="D539" s="273"/>
    </row>
    <row r="540">
      <c r="D540" s="273"/>
    </row>
    <row r="541">
      <c r="D541" s="273"/>
    </row>
    <row r="542">
      <c r="D542" s="273"/>
    </row>
    <row r="543">
      <c r="D543" s="273"/>
    </row>
    <row r="544">
      <c r="D544" s="273"/>
    </row>
    <row r="545">
      <c r="D545" s="273"/>
    </row>
    <row r="546">
      <c r="D546" s="273"/>
    </row>
    <row r="547">
      <c r="D547" s="273"/>
    </row>
    <row r="548">
      <c r="D548" s="273"/>
    </row>
    <row r="549">
      <c r="D549" s="273"/>
    </row>
    <row r="550">
      <c r="D550" s="273"/>
    </row>
    <row r="551">
      <c r="D551" s="273"/>
    </row>
    <row r="552">
      <c r="D552" s="273"/>
    </row>
    <row r="553">
      <c r="D553" s="273"/>
    </row>
    <row r="554">
      <c r="D554" s="273"/>
    </row>
    <row r="555">
      <c r="D555" s="273"/>
    </row>
    <row r="556">
      <c r="D556" s="273"/>
    </row>
    <row r="557">
      <c r="D557" s="273"/>
    </row>
    <row r="558">
      <c r="D558" s="273"/>
    </row>
    <row r="559">
      <c r="D559" s="273"/>
    </row>
    <row r="560">
      <c r="D560" s="273"/>
    </row>
    <row r="561">
      <c r="D561" s="273"/>
    </row>
    <row r="562">
      <c r="D562" s="273"/>
    </row>
    <row r="563">
      <c r="D563" s="273"/>
    </row>
    <row r="564">
      <c r="D564" s="273"/>
    </row>
    <row r="565">
      <c r="D565" s="273"/>
    </row>
    <row r="566">
      <c r="D566" s="273"/>
    </row>
    <row r="567">
      <c r="D567" s="273"/>
    </row>
    <row r="568">
      <c r="D568" s="273"/>
    </row>
    <row r="569">
      <c r="D569" s="273"/>
    </row>
    <row r="570">
      <c r="D570" s="273"/>
    </row>
    <row r="571">
      <c r="D571" s="273"/>
    </row>
    <row r="572">
      <c r="D572" s="273"/>
    </row>
    <row r="573">
      <c r="D573" s="273"/>
    </row>
    <row r="574">
      <c r="D574" s="273"/>
    </row>
    <row r="575">
      <c r="D575" s="273"/>
    </row>
    <row r="576">
      <c r="D576" s="273"/>
    </row>
    <row r="577">
      <c r="D577" s="273"/>
    </row>
    <row r="578">
      <c r="D578" s="273"/>
    </row>
    <row r="579">
      <c r="D579" s="273"/>
    </row>
    <row r="580">
      <c r="D580" s="273"/>
    </row>
    <row r="581">
      <c r="D581" s="273"/>
    </row>
    <row r="582">
      <c r="D582" s="273"/>
    </row>
    <row r="583">
      <c r="D583" s="273"/>
    </row>
    <row r="584">
      <c r="D584" s="273"/>
    </row>
    <row r="585">
      <c r="D585" s="273"/>
    </row>
    <row r="586">
      <c r="D586" s="273"/>
    </row>
    <row r="587">
      <c r="D587" s="273"/>
    </row>
    <row r="588">
      <c r="D588" s="273"/>
    </row>
    <row r="589">
      <c r="D589" s="273"/>
    </row>
    <row r="590">
      <c r="D590" s="273"/>
    </row>
    <row r="591">
      <c r="D591" s="273"/>
    </row>
    <row r="592">
      <c r="D592" s="273"/>
    </row>
    <row r="593">
      <c r="D593" s="273"/>
    </row>
    <row r="594">
      <c r="D594" s="273"/>
    </row>
    <row r="595">
      <c r="D595" s="273"/>
    </row>
    <row r="596">
      <c r="D596" s="273"/>
    </row>
    <row r="597">
      <c r="D597" s="273"/>
    </row>
    <row r="598">
      <c r="D598" s="273"/>
    </row>
    <row r="599">
      <c r="D599" s="273"/>
    </row>
    <row r="600">
      <c r="D600" s="273"/>
    </row>
    <row r="601">
      <c r="D601" s="273"/>
    </row>
    <row r="602">
      <c r="D602" s="273"/>
    </row>
    <row r="603">
      <c r="D603" s="273"/>
    </row>
    <row r="604">
      <c r="D604" s="273"/>
    </row>
    <row r="605">
      <c r="D605" s="273"/>
    </row>
    <row r="606">
      <c r="D606" s="273"/>
    </row>
    <row r="607">
      <c r="D607" s="273"/>
    </row>
    <row r="608">
      <c r="D608" s="273"/>
    </row>
    <row r="609">
      <c r="D609" s="273"/>
    </row>
    <row r="610">
      <c r="D610" s="273"/>
    </row>
    <row r="611">
      <c r="D611" s="273"/>
    </row>
    <row r="612">
      <c r="D612" s="273"/>
    </row>
    <row r="613">
      <c r="D613" s="273"/>
    </row>
    <row r="614">
      <c r="D614" s="273"/>
    </row>
    <row r="615">
      <c r="D615" s="273"/>
    </row>
    <row r="616">
      <c r="D616" s="273"/>
    </row>
    <row r="617">
      <c r="D617" s="273"/>
    </row>
    <row r="618">
      <c r="D618" s="273"/>
    </row>
    <row r="619">
      <c r="D619" s="273"/>
    </row>
    <row r="620">
      <c r="D620" s="273"/>
    </row>
    <row r="621">
      <c r="D621" s="273"/>
    </row>
    <row r="622">
      <c r="D622" s="273"/>
    </row>
    <row r="623">
      <c r="D623" s="273"/>
    </row>
    <row r="624">
      <c r="D624" s="273"/>
    </row>
    <row r="625">
      <c r="D625" s="273"/>
    </row>
    <row r="626">
      <c r="D626" s="273"/>
    </row>
    <row r="627">
      <c r="D627" s="273"/>
    </row>
    <row r="628">
      <c r="D628" s="273"/>
    </row>
    <row r="629">
      <c r="D629" s="273"/>
    </row>
    <row r="630">
      <c r="D630" s="273"/>
    </row>
    <row r="631">
      <c r="D631" s="273"/>
    </row>
    <row r="632">
      <c r="D632" s="273"/>
    </row>
    <row r="633">
      <c r="D633" s="273"/>
    </row>
    <row r="634">
      <c r="D634" s="273"/>
    </row>
    <row r="635">
      <c r="D635" s="273"/>
    </row>
    <row r="636">
      <c r="D636" s="273"/>
    </row>
    <row r="637">
      <c r="D637" s="273"/>
    </row>
    <row r="638">
      <c r="D638" s="273"/>
    </row>
    <row r="639">
      <c r="D639" s="273"/>
    </row>
    <row r="640">
      <c r="D640" s="273"/>
    </row>
    <row r="641">
      <c r="D641" s="273"/>
    </row>
    <row r="642">
      <c r="D642" s="273"/>
    </row>
    <row r="643">
      <c r="D643" s="273"/>
    </row>
    <row r="644">
      <c r="D644" s="273"/>
    </row>
    <row r="645">
      <c r="D645" s="273"/>
    </row>
    <row r="646">
      <c r="D646" s="273"/>
    </row>
    <row r="647">
      <c r="D647" s="273"/>
    </row>
    <row r="648">
      <c r="D648" s="273"/>
    </row>
    <row r="649">
      <c r="D649" s="273"/>
    </row>
    <row r="650">
      <c r="D650" s="273"/>
    </row>
    <row r="651">
      <c r="D651" s="273"/>
    </row>
    <row r="652">
      <c r="D652" s="273"/>
    </row>
    <row r="653">
      <c r="D653" s="273"/>
    </row>
    <row r="654">
      <c r="D654" s="273"/>
    </row>
    <row r="655">
      <c r="D655" s="273"/>
    </row>
    <row r="656">
      <c r="D656" s="273"/>
    </row>
    <row r="657">
      <c r="D657" s="273"/>
    </row>
    <row r="658">
      <c r="D658" s="273"/>
    </row>
    <row r="659">
      <c r="D659" s="273"/>
    </row>
    <row r="660">
      <c r="D660" s="273"/>
    </row>
    <row r="661">
      <c r="D661" s="273"/>
    </row>
    <row r="662">
      <c r="D662" s="273"/>
    </row>
    <row r="663">
      <c r="D663" s="273"/>
    </row>
    <row r="664">
      <c r="D664" s="273"/>
    </row>
    <row r="665">
      <c r="D665" s="273"/>
    </row>
    <row r="666">
      <c r="D666" s="273"/>
    </row>
    <row r="667">
      <c r="D667" s="273"/>
    </row>
    <row r="668">
      <c r="D668" s="273"/>
    </row>
    <row r="669">
      <c r="D669" s="273"/>
    </row>
    <row r="670">
      <c r="D670" s="273"/>
    </row>
    <row r="671">
      <c r="D671" s="273"/>
    </row>
    <row r="672">
      <c r="D672" s="273"/>
    </row>
    <row r="673">
      <c r="D673" s="273"/>
    </row>
    <row r="674">
      <c r="D674" s="273"/>
    </row>
    <row r="675">
      <c r="D675" s="273"/>
    </row>
    <row r="676">
      <c r="D676" s="273"/>
    </row>
    <row r="677">
      <c r="D677" s="273"/>
    </row>
    <row r="678">
      <c r="D678" s="273"/>
    </row>
    <row r="679">
      <c r="D679" s="273"/>
    </row>
    <row r="680">
      <c r="D680" s="273"/>
    </row>
    <row r="681">
      <c r="D681" s="273"/>
    </row>
    <row r="682">
      <c r="D682" s="273"/>
    </row>
    <row r="683">
      <c r="D683" s="273"/>
    </row>
    <row r="684">
      <c r="D684" s="273"/>
    </row>
    <row r="685">
      <c r="D685" s="273"/>
    </row>
    <row r="686">
      <c r="D686" s="273"/>
    </row>
    <row r="687">
      <c r="D687" s="273"/>
    </row>
    <row r="688">
      <c r="D688" s="273"/>
    </row>
    <row r="689">
      <c r="D689" s="273"/>
    </row>
    <row r="690">
      <c r="D690" s="273"/>
    </row>
    <row r="691">
      <c r="D691" s="273"/>
    </row>
    <row r="692">
      <c r="D692" s="273"/>
    </row>
    <row r="693">
      <c r="D693" s="273"/>
    </row>
    <row r="694">
      <c r="D694" s="273"/>
    </row>
    <row r="695">
      <c r="D695" s="273"/>
    </row>
    <row r="696">
      <c r="D696" s="273"/>
    </row>
    <row r="697">
      <c r="D697" s="273"/>
    </row>
    <row r="698">
      <c r="D698" s="273"/>
    </row>
    <row r="699">
      <c r="D699" s="273"/>
    </row>
    <row r="700">
      <c r="D700" s="273"/>
    </row>
    <row r="701">
      <c r="D701" s="273"/>
    </row>
    <row r="702">
      <c r="D702" s="273"/>
    </row>
    <row r="703">
      <c r="D703" s="273"/>
    </row>
    <row r="704">
      <c r="D704" s="273"/>
    </row>
    <row r="705">
      <c r="D705" s="273"/>
    </row>
    <row r="706">
      <c r="D706" s="273"/>
    </row>
    <row r="707">
      <c r="D707" s="273"/>
    </row>
    <row r="708">
      <c r="D708" s="273"/>
    </row>
    <row r="709">
      <c r="D709" s="273"/>
    </row>
    <row r="710">
      <c r="D710" s="273"/>
    </row>
    <row r="711">
      <c r="D711" s="273"/>
    </row>
    <row r="712">
      <c r="D712" s="273"/>
    </row>
    <row r="713">
      <c r="D713" s="273"/>
    </row>
    <row r="714">
      <c r="D714" s="273"/>
    </row>
    <row r="715">
      <c r="D715" s="273"/>
    </row>
    <row r="716">
      <c r="D716" s="273"/>
    </row>
    <row r="717">
      <c r="D717" s="273"/>
    </row>
    <row r="718">
      <c r="D718" s="273"/>
    </row>
    <row r="719">
      <c r="D719" s="273"/>
    </row>
    <row r="720">
      <c r="D720" s="273"/>
    </row>
    <row r="721">
      <c r="D721" s="273"/>
    </row>
    <row r="722">
      <c r="D722" s="273"/>
    </row>
    <row r="723">
      <c r="D723" s="273"/>
    </row>
    <row r="724">
      <c r="D724" s="273"/>
    </row>
    <row r="725">
      <c r="D725" s="273"/>
    </row>
    <row r="726">
      <c r="D726" s="273"/>
    </row>
    <row r="727">
      <c r="D727" s="273"/>
    </row>
    <row r="728">
      <c r="D728" s="273"/>
    </row>
    <row r="729">
      <c r="D729" s="273"/>
    </row>
    <row r="730">
      <c r="D730" s="273"/>
    </row>
    <row r="731">
      <c r="D731" s="273"/>
    </row>
    <row r="732">
      <c r="D732" s="273"/>
    </row>
    <row r="733">
      <c r="D733" s="273"/>
    </row>
    <row r="734">
      <c r="D734" s="273"/>
    </row>
    <row r="735">
      <c r="D735" s="273"/>
    </row>
    <row r="736">
      <c r="D736" s="273"/>
    </row>
    <row r="737">
      <c r="D737" s="273"/>
    </row>
    <row r="738">
      <c r="D738" s="273"/>
    </row>
    <row r="739">
      <c r="D739" s="273"/>
    </row>
    <row r="740">
      <c r="D740" s="273"/>
    </row>
    <row r="741">
      <c r="D741" s="273"/>
    </row>
    <row r="742">
      <c r="D742" s="273"/>
    </row>
    <row r="743">
      <c r="D743" s="273"/>
    </row>
    <row r="744">
      <c r="D744" s="273"/>
    </row>
    <row r="745">
      <c r="D745" s="273"/>
    </row>
    <row r="746">
      <c r="D746" s="273"/>
    </row>
    <row r="747">
      <c r="D747" s="273"/>
    </row>
    <row r="748">
      <c r="D748" s="273"/>
    </row>
    <row r="749">
      <c r="D749" s="273"/>
    </row>
    <row r="750">
      <c r="D750" s="273"/>
    </row>
    <row r="751">
      <c r="D751" s="273"/>
    </row>
    <row r="752">
      <c r="D752" s="273"/>
    </row>
    <row r="753">
      <c r="D753" s="273"/>
    </row>
    <row r="754">
      <c r="D754" s="273"/>
    </row>
    <row r="755">
      <c r="D755" s="273"/>
    </row>
    <row r="756">
      <c r="D756" s="273"/>
    </row>
    <row r="757">
      <c r="D757" s="273"/>
    </row>
    <row r="758">
      <c r="D758" s="273"/>
    </row>
    <row r="759">
      <c r="D759" s="273"/>
    </row>
    <row r="760">
      <c r="D760" s="273"/>
    </row>
    <row r="761">
      <c r="D761" s="273"/>
    </row>
    <row r="762">
      <c r="D762" s="273"/>
    </row>
    <row r="763">
      <c r="D763" s="273"/>
    </row>
    <row r="764">
      <c r="D764" s="273"/>
    </row>
    <row r="765">
      <c r="D765" s="273"/>
    </row>
    <row r="766">
      <c r="D766" s="273"/>
    </row>
    <row r="767">
      <c r="D767" s="273"/>
    </row>
    <row r="768">
      <c r="D768" s="273"/>
    </row>
    <row r="769">
      <c r="D769" s="273"/>
    </row>
    <row r="770">
      <c r="D770" s="273"/>
    </row>
    <row r="771">
      <c r="D771" s="273"/>
    </row>
    <row r="772">
      <c r="D772" s="273"/>
    </row>
    <row r="773">
      <c r="D773" s="273"/>
    </row>
    <row r="774">
      <c r="D774" s="273"/>
    </row>
    <row r="775">
      <c r="D775" s="273"/>
    </row>
    <row r="776">
      <c r="D776" s="273"/>
    </row>
    <row r="777">
      <c r="D777" s="273"/>
    </row>
    <row r="778">
      <c r="D778" s="273"/>
    </row>
    <row r="779">
      <c r="D779" s="273"/>
    </row>
    <row r="780">
      <c r="D780" s="273"/>
    </row>
    <row r="781">
      <c r="D781" s="273"/>
    </row>
    <row r="782">
      <c r="D782" s="273"/>
    </row>
    <row r="783">
      <c r="D783" s="273"/>
    </row>
    <row r="784">
      <c r="D784" s="273"/>
    </row>
    <row r="785">
      <c r="D785" s="273"/>
    </row>
    <row r="786">
      <c r="D786" s="273"/>
    </row>
    <row r="787">
      <c r="D787" s="273"/>
    </row>
    <row r="788">
      <c r="D788" s="273"/>
    </row>
    <row r="789">
      <c r="D789" s="273"/>
    </row>
    <row r="790">
      <c r="D790" s="273"/>
    </row>
    <row r="791">
      <c r="D791" s="273"/>
    </row>
    <row r="792">
      <c r="D792" s="273"/>
    </row>
    <row r="793">
      <c r="D793" s="273"/>
    </row>
    <row r="794">
      <c r="D794" s="273"/>
    </row>
    <row r="795">
      <c r="D795" s="273"/>
    </row>
    <row r="796">
      <c r="D796" s="273"/>
    </row>
    <row r="797">
      <c r="D797" s="273"/>
    </row>
    <row r="798">
      <c r="D798" s="273"/>
    </row>
    <row r="799">
      <c r="D799" s="273"/>
    </row>
    <row r="800">
      <c r="D800" s="273"/>
    </row>
    <row r="801">
      <c r="D801" s="273"/>
    </row>
    <row r="802">
      <c r="D802" s="273"/>
    </row>
    <row r="803">
      <c r="D803" s="273"/>
    </row>
    <row r="804">
      <c r="D804" s="273"/>
    </row>
    <row r="805">
      <c r="D805" s="273"/>
    </row>
    <row r="806">
      <c r="D806" s="273"/>
    </row>
    <row r="807">
      <c r="D807" s="273"/>
    </row>
    <row r="808">
      <c r="D808" s="273"/>
    </row>
    <row r="809">
      <c r="D809" s="273"/>
    </row>
    <row r="810">
      <c r="D810" s="273"/>
    </row>
    <row r="811">
      <c r="D811" s="273"/>
    </row>
    <row r="812">
      <c r="D812" s="273"/>
    </row>
    <row r="813">
      <c r="D813" s="273"/>
    </row>
    <row r="814">
      <c r="D814" s="273"/>
    </row>
    <row r="815">
      <c r="D815" s="273"/>
    </row>
    <row r="816">
      <c r="D816" s="273"/>
    </row>
    <row r="817">
      <c r="D817" s="273"/>
    </row>
    <row r="818">
      <c r="D818" s="273"/>
    </row>
    <row r="819">
      <c r="D819" s="273"/>
    </row>
    <row r="820">
      <c r="D820" s="273"/>
    </row>
    <row r="821">
      <c r="D821" s="273"/>
    </row>
    <row r="822">
      <c r="D822" s="273"/>
    </row>
    <row r="823">
      <c r="D823" s="273"/>
    </row>
    <row r="824">
      <c r="D824" s="273"/>
    </row>
    <row r="825">
      <c r="D825" s="273"/>
    </row>
    <row r="826">
      <c r="D826" s="273"/>
    </row>
    <row r="827">
      <c r="D827" s="273"/>
    </row>
    <row r="828">
      <c r="D828" s="273"/>
    </row>
    <row r="829">
      <c r="D829" s="273"/>
    </row>
    <row r="830">
      <c r="D830" s="273"/>
    </row>
    <row r="831">
      <c r="D831" s="273"/>
    </row>
    <row r="832">
      <c r="D832" s="273"/>
    </row>
    <row r="833">
      <c r="D833" s="273"/>
    </row>
    <row r="834">
      <c r="D834" s="273"/>
    </row>
    <row r="835">
      <c r="D835" s="273"/>
    </row>
    <row r="836">
      <c r="D836" s="273"/>
    </row>
    <row r="837">
      <c r="D837" s="273"/>
    </row>
    <row r="838">
      <c r="D838" s="273"/>
    </row>
    <row r="839">
      <c r="D839" s="273"/>
    </row>
    <row r="840">
      <c r="D840" s="273"/>
    </row>
    <row r="841">
      <c r="D841" s="273"/>
    </row>
    <row r="842">
      <c r="D842" s="273"/>
    </row>
    <row r="843">
      <c r="D843" s="273"/>
    </row>
    <row r="844">
      <c r="D844" s="273"/>
    </row>
    <row r="845">
      <c r="D845" s="273"/>
    </row>
    <row r="846">
      <c r="D846" s="273"/>
    </row>
    <row r="847">
      <c r="D847" s="273"/>
    </row>
    <row r="848">
      <c r="D848" s="273"/>
    </row>
    <row r="849">
      <c r="D849" s="273"/>
    </row>
    <row r="850">
      <c r="D850" s="273"/>
    </row>
    <row r="851">
      <c r="D851" s="273"/>
    </row>
    <row r="852">
      <c r="D852" s="273"/>
    </row>
    <row r="853">
      <c r="D853" s="273"/>
    </row>
    <row r="854">
      <c r="D854" s="273"/>
    </row>
    <row r="855">
      <c r="D855" s="273"/>
    </row>
    <row r="856">
      <c r="D856" s="273"/>
    </row>
    <row r="857">
      <c r="D857" s="273"/>
    </row>
    <row r="858">
      <c r="D858" s="273"/>
    </row>
    <row r="859">
      <c r="D859" s="273"/>
    </row>
    <row r="860">
      <c r="D860" s="273"/>
    </row>
    <row r="861">
      <c r="D861" s="273"/>
    </row>
    <row r="862">
      <c r="D862" s="273"/>
    </row>
    <row r="863">
      <c r="D863" s="273"/>
    </row>
    <row r="864">
      <c r="D864" s="273"/>
    </row>
    <row r="865">
      <c r="D865" s="273"/>
    </row>
    <row r="866">
      <c r="D866" s="273"/>
    </row>
    <row r="867">
      <c r="D867" s="273"/>
    </row>
    <row r="868">
      <c r="D868" s="273"/>
    </row>
    <row r="869">
      <c r="D869" s="273"/>
    </row>
    <row r="870">
      <c r="D870" s="273"/>
    </row>
    <row r="871">
      <c r="D871" s="273"/>
    </row>
    <row r="872">
      <c r="D872" s="273"/>
    </row>
    <row r="873">
      <c r="D873" s="273"/>
    </row>
    <row r="874">
      <c r="D874" s="273"/>
    </row>
    <row r="875">
      <c r="D875" s="273"/>
    </row>
    <row r="876">
      <c r="D876" s="273"/>
    </row>
    <row r="877">
      <c r="D877" s="273"/>
    </row>
    <row r="878">
      <c r="D878" s="273"/>
    </row>
    <row r="879">
      <c r="D879" s="273"/>
    </row>
    <row r="880">
      <c r="D880" s="273"/>
    </row>
    <row r="881">
      <c r="D881" s="273"/>
    </row>
    <row r="882">
      <c r="D882" s="273"/>
    </row>
    <row r="883">
      <c r="D883" s="273"/>
    </row>
    <row r="884">
      <c r="D884" s="273"/>
    </row>
    <row r="885">
      <c r="D885" s="273"/>
    </row>
    <row r="886">
      <c r="D886" s="273"/>
    </row>
    <row r="887">
      <c r="D887" s="273"/>
    </row>
    <row r="888">
      <c r="D888" s="273"/>
    </row>
    <row r="889">
      <c r="D889" s="273"/>
    </row>
    <row r="890">
      <c r="D890" s="273"/>
    </row>
    <row r="891">
      <c r="D891" s="273"/>
    </row>
    <row r="892">
      <c r="D892" s="273"/>
    </row>
    <row r="893">
      <c r="D893" s="273"/>
    </row>
    <row r="894">
      <c r="D894" s="273"/>
    </row>
    <row r="895">
      <c r="D895" s="273"/>
    </row>
    <row r="896">
      <c r="D896" s="273"/>
    </row>
    <row r="897">
      <c r="D897" s="273"/>
    </row>
    <row r="898">
      <c r="D898" s="273"/>
    </row>
    <row r="899">
      <c r="D899" s="273"/>
    </row>
    <row r="900">
      <c r="D900" s="273"/>
    </row>
    <row r="901">
      <c r="D901" s="273"/>
    </row>
    <row r="902">
      <c r="D902" s="273"/>
    </row>
    <row r="903">
      <c r="D903" s="273"/>
    </row>
    <row r="904">
      <c r="D904" s="273"/>
    </row>
    <row r="905">
      <c r="D905" s="273"/>
    </row>
    <row r="906">
      <c r="D906" s="273"/>
    </row>
    <row r="907">
      <c r="D907" s="273"/>
    </row>
    <row r="908">
      <c r="D908" s="273"/>
    </row>
    <row r="909">
      <c r="D909" s="273"/>
    </row>
    <row r="910">
      <c r="D910" s="273"/>
    </row>
    <row r="911">
      <c r="D911" s="273"/>
    </row>
    <row r="912">
      <c r="D912" s="273"/>
    </row>
    <row r="913">
      <c r="D913" s="273"/>
    </row>
    <row r="914">
      <c r="D914" s="273"/>
    </row>
    <row r="915">
      <c r="D915" s="273"/>
    </row>
    <row r="916">
      <c r="D916" s="273"/>
    </row>
    <row r="917">
      <c r="D917" s="273"/>
    </row>
    <row r="918">
      <c r="D918" s="273"/>
    </row>
    <row r="919">
      <c r="D919" s="273"/>
    </row>
    <row r="920">
      <c r="D920" s="273"/>
    </row>
    <row r="921">
      <c r="D921" s="273"/>
    </row>
    <row r="922">
      <c r="D922" s="273"/>
    </row>
    <row r="923">
      <c r="D923" s="273"/>
    </row>
    <row r="924">
      <c r="D924" s="273"/>
    </row>
    <row r="925">
      <c r="D925" s="273"/>
    </row>
    <row r="926">
      <c r="D926" s="273"/>
    </row>
    <row r="927">
      <c r="D927" s="273"/>
    </row>
    <row r="928">
      <c r="D928" s="273"/>
    </row>
    <row r="929">
      <c r="D929" s="273"/>
    </row>
    <row r="930">
      <c r="D930" s="273"/>
    </row>
    <row r="931">
      <c r="D931" s="273"/>
    </row>
    <row r="932">
      <c r="D932" s="273"/>
    </row>
    <row r="933">
      <c r="D933" s="273"/>
    </row>
    <row r="934">
      <c r="D934" s="273"/>
    </row>
    <row r="935">
      <c r="D935" s="273"/>
    </row>
    <row r="936">
      <c r="D936" s="273"/>
    </row>
    <row r="937">
      <c r="D937" s="273"/>
    </row>
    <row r="938">
      <c r="D938" s="273"/>
    </row>
    <row r="939">
      <c r="D939" s="273"/>
    </row>
    <row r="940">
      <c r="D940" s="273"/>
    </row>
    <row r="941">
      <c r="D941" s="273"/>
    </row>
    <row r="942">
      <c r="D942" s="273"/>
    </row>
    <row r="943">
      <c r="D943" s="273"/>
    </row>
    <row r="944">
      <c r="D944" s="273"/>
    </row>
    <row r="945">
      <c r="D945" s="273"/>
    </row>
    <row r="946">
      <c r="D946" s="273"/>
    </row>
    <row r="947">
      <c r="D947" s="273"/>
    </row>
    <row r="948">
      <c r="D948" s="273"/>
    </row>
    <row r="949">
      <c r="D949" s="273"/>
    </row>
    <row r="950">
      <c r="D950" s="273"/>
    </row>
    <row r="951">
      <c r="D951" s="273"/>
    </row>
    <row r="952">
      <c r="D952" s="273"/>
    </row>
    <row r="953">
      <c r="D953" s="273"/>
    </row>
    <row r="954">
      <c r="D954" s="273"/>
    </row>
    <row r="955">
      <c r="D955" s="273"/>
    </row>
    <row r="956">
      <c r="D956" s="273"/>
    </row>
    <row r="957">
      <c r="D957" s="273"/>
    </row>
    <row r="958">
      <c r="D958" s="273"/>
    </row>
    <row r="959">
      <c r="D959" s="273"/>
    </row>
    <row r="960">
      <c r="D960" s="273"/>
    </row>
    <row r="961">
      <c r="D961" s="273"/>
    </row>
    <row r="962">
      <c r="D962" s="273"/>
    </row>
    <row r="963">
      <c r="D963" s="273"/>
    </row>
    <row r="964">
      <c r="D964" s="273"/>
    </row>
    <row r="965">
      <c r="D965" s="273"/>
    </row>
    <row r="966">
      <c r="D966" s="273"/>
    </row>
    <row r="967">
      <c r="D967" s="273"/>
    </row>
    <row r="968">
      <c r="D968" s="273"/>
    </row>
    <row r="969">
      <c r="D969" s="273"/>
    </row>
    <row r="970">
      <c r="D970" s="273"/>
    </row>
    <row r="971">
      <c r="D971" s="273"/>
    </row>
    <row r="972">
      <c r="D972" s="273"/>
    </row>
    <row r="973">
      <c r="D973" s="273"/>
    </row>
    <row r="974">
      <c r="D974" s="273"/>
    </row>
    <row r="975">
      <c r="D975" s="273"/>
    </row>
    <row r="976">
      <c r="D976" s="273"/>
    </row>
    <row r="977">
      <c r="D977" s="273"/>
    </row>
    <row r="978">
      <c r="D978" s="273"/>
    </row>
    <row r="979">
      <c r="D979" s="273"/>
    </row>
    <row r="980">
      <c r="D980" s="273"/>
    </row>
    <row r="981">
      <c r="D981" s="273"/>
    </row>
    <row r="982">
      <c r="D982" s="273"/>
    </row>
    <row r="983">
      <c r="D983" s="273"/>
    </row>
    <row r="984">
      <c r="D984" s="273"/>
    </row>
    <row r="985">
      <c r="D985" s="273"/>
    </row>
    <row r="986">
      <c r="D986" s="273"/>
    </row>
    <row r="987">
      <c r="D987" s="273"/>
    </row>
    <row r="988">
      <c r="D988" s="273"/>
    </row>
    <row r="989">
      <c r="D989" s="273"/>
    </row>
    <row r="990">
      <c r="D990" s="273"/>
    </row>
    <row r="991">
      <c r="D991" s="273"/>
    </row>
    <row r="992">
      <c r="D992" s="273"/>
    </row>
    <row r="993">
      <c r="D993" s="273"/>
    </row>
    <row r="994">
      <c r="D994" s="273"/>
    </row>
    <row r="995">
      <c r="D995" s="273"/>
    </row>
    <row r="996">
      <c r="D996" s="273"/>
    </row>
    <row r="997">
      <c r="D997" s="273"/>
    </row>
    <row r="998">
      <c r="D998" s="273"/>
    </row>
    <row r="999">
      <c r="D999" s="273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0.0"/>
    <col customWidth="1" min="5" max="5" width="19.5"/>
  </cols>
  <sheetData>
    <row r="1">
      <c r="A1" s="348"/>
      <c r="B1" s="348"/>
      <c r="C1" s="349" t="s">
        <v>560</v>
      </c>
      <c r="D1" s="350" t="s">
        <v>561</v>
      </c>
      <c r="E1" s="350" t="s">
        <v>562</v>
      </c>
    </row>
    <row r="2">
      <c r="A2" s="351" t="s">
        <v>563</v>
      </c>
      <c r="B2" s="352" t="s">
        <v>564</v>
      </c>
      <c r="C2" s="353">
        <v>1690.0</v>
      </c>
      <c r="D2" s="354">
        <v>1754.0</v>
      </c>
      <c r="E2" s="355">
        <f t="shared" ref="E2:E14" si="1">(D2-C2)/C2</f>
        <v>0.03786982249</v>
      </c>
    </row>
    <row r="3">
      <c r="A3" s="356"/>
      <c r="B3" s="357" t="s">
        <v>565</v>
      </c>
      <c r="C3" s="358">
        <v>32040.0</v>
      </c>
      <c r="D3" s="358">
        <v>3660.0</v>
      </c>
      <c r="E3" s="355">
        <f t="shared" si="1"/>
        <v>-0.8857677903</v>
      </c>
    </row>
    <row r="4">
      <c r="A4" s="356"/>
      <c r="B4" s="359" t="s">
        <v>566</v>
      </c>
      <c r="C4" s="360">
        <v>141.0</v>
      </c>
      <c r="D4" s="361">
        <v>380.0</v>
      </c>
      <c r="E4" s="355">
        <f t="shared" si="1"/>
        <v>1.695035461</v>
      </c>
    </row>
    <row r="5">
      <c r="A5" s="356"/>
      <c r="B5" s="357" t="s">
        <v>567</v>
      </c>
      <c r="C5" s="358">
        <v>40563.0</v>
      </c>
      <c r="D5" s="362">
        <v>15344.0</v>
      </c>
      <c r="E5" s="355">
        <f t="shared" si="1"/>
        <v>-0.6217242314</v>
      </c>
    </row>
    <row r="6">
      <c r="A6" s="356"/>
      <c r="B6" s="363" t="s">
        <v>568</v>
      </c>
      <c r="C6" s="364">
        <v>186.0</v>
      </c>
      <c r="D6" s="365">
        <v>468.0</v>
      </c>
      <c r="E6" s="355">
        <f t="shared" si="1"/>
        <v>1.516129032</v>
      </c>
    </row>
    <row r="7">
      <c r="A7" s="356"/>
      <c r="B7" s="363" t="s">
        <v>569</v>
      </c>
      <c r="C7" s="364">
        <v>33.0</v>
      </c>
      <c r="D7" s="366">
        <v>39.0</v>
      </c>
      <c r="E7" s="355">
        <f t="shared" si="1"/>
        <v>0.1818181818</v>
      </c>
    </row>
    <row r="8">
      <c r="A8" s="356"/>
      <c r="B8" s="367" t="s">
        <v>570</v>
      </c>
      <c r="C8" s="368">
        <f t="shared" ref="C8:D8" si="2">C4/C3</f>
        <v>0.004400749064</v>
      </c>
      <c r="D8" s="368">
        <f t="shared" si="2"/>
        <v>0.1038251366</v>
      </c>
      <c r="E8" s="355">
        <f t="shared" si="1"/>
        <v>22.59260551</v>
      </c>
    </row>
    <row r="9" ht="14.25" customHeight="1">
      <c r="A9" s="369"/>
      <c r="B9" s="370" t="s">
        <v>571</v>
      </c>
      <c r="C9" s="371">
        <v>24.0</v>
      </c>
      <c r="D9" s="372">
        <v>64.0</v>
      </c>
      <c r="E9" s="373">
        <f t="shared" si="1"/>
        <v>1.666666667</v>
      </c>
    </row>
    <row r="10">
      <c r="A10" s="374" t="s">
        <v>572</v>
      </c>
      <c r="B10" s="352" t="s">
        <v>564</v>
      </c>
      <c r="C10" s="375">
        <v>290.0</v>
      </c>
      <c r="D10" s="354">
        <v>298.0</v>
      </c>
      <c r="E10" s="355">
        <f t="shared" si="1"/>
        <v>0.0275862069</v>
      </c>
    </row>
    <row r="11">
      <c r="A11" s="356"/>
      <c r="B11" s="363" t="s">
        <v>566</v>
      </c>
      <c r="C11" s="376">
        <v>22.0</v>
      </c>
      <c r="D11" s="364">
        <v>158.0</v>
      </c>
      <c r="E11" s="355">
        <f t="shared" si="1"/>
        <v>6.181818182</v>
      </c>
    </row>
    <row r="12">
      <c r="A12" s="356"/>
      <c r="B12" s="377" t="s">
        <v>565</v>
      </c>
      <c r="C12" s="378">
        <v>89531.0</v>
      </c>
      <c r="D12" s="378">
        <v>51590.0</v>
      </c>
      <c r="E12" s="355">
        <f t="shared" si="1"/>
        <v>-0.4237750053</v>
      </c>
    </row>
    <row r="13">
      <c r="A13" s="356"/>
      <c r="B13" s="352" t="s">
        <v>567</v>
      </c>
      <c r="C13" s="378">
        <v>55.0</v>
      </c>
      <c r="D13" s="378">
        <v>163635.0</v>
      </c>
      <c r="E13" s="355">
        <f t="shared" si="1"/>
        <v>2974.181818</v>
      </c>
    </row>
    <row r="14">
      <c r="A14" s="356"/>
      <c r="B14" s="363" t="s">
        <v>573</v>
      </c>
      <c r="C14" s="376">
        <v>342.0</v>
      </c>
      <c r="D14" s="364">
        <v>553.0</v>
      </c>
      <c r="E14" s="355">
        <f t="shared" si="1"/>
        <v>0.6169590643</v>
      </c>
    </row>
    <row r="15">
      <c r="A15" s="356"/>
      <c r="B15" s="379" t="s">
        <v>569</v>
      </c>
      <c r="C15" s="376">
        <v>118.0</v>
      </c>
      <c r="D15" s="364">
        <v>1962.0</v>
      </c>
      <c r="E15" s="355"/>
    </row>
    <row r="16">
      <c r="A16" s="356"/>
      <c r="B16" s="367" t="s">
        <v>570</v>
      </c>
      <c r="C16" s="380">
        <f t="shared" ref="C16:D16" si="3">C11/C12</f>
        <v>0.0002457249444</v>
      </c>
      <c r="D16" s="380">
        <f t="shared" si="3"/>
        <v>0.003062609033</v>
      </c>
      <c r="E16" s="355">
        <f t="shared" ref="E16:E17" si="4">(D16-C16)/C16</f>
        <v>11.46356588</v>
      </c>
    </row>
    <row r="17" ht="30.75" customHeight="1">
      <c r="A17" s="369"/>
      <c r="B17" s="370" t="s">
        <v>574</v>
      </c>
      <c r="C17" s="381">
        <v>17.0</v>
      </c>
      <c r="D17" s="372">
        <v>50.0</v>
      </c>
      <c r="E17" s="373">
        <f t="shared" si="4"/>
        <v>1.941176471</v>
      </c>
    </row>
    <row r="18">
      <c r="C18" s="382"/>
    </row>
    <row r="19">
      <c r="C19" s="382"/>
    </row>
    <row r="20">
      <c r="C20" s="382"/>
    </row>
    <row r="21">
      <c r="C21" s="382"/>
    </row>
    <row r="22">
      <c r="C22" s="382"/>
    </row>
    <row r="23">
      <c r="C23" s="382"/>
    </row>
    <row r="24">
      <c r="C24" s="382"/>
    </row>
    <row r="25">
      <c r="C25" s="382"/>
    </row>
    <row r="26">
      <c r="C26" s="382"/>
    </row>
    <row r="27">
      <c r="C27" s="382"/>
    </row>
    <row r="28">
      <c r="C28" s="382"/>
    </row>
    <row r="29">
      <c r="C29" s="382"/>
    </row>
    <row r="30">
      <c r="C30" s="382"/>
    </row>
    <row r="31">
      <c r="C31" s="382"/>
    </row>
    <row r="32">
      <c r="C32" s="382"/>
    </row>
    <row r="33">
      <c r="C33" s="382"/>
    </row>
    <row r="34">
      <c r="C34" s="382"/>
    </row>
    <row r="35">
      <c r="C35" s="382"/>
    </row>
    <row r="36">
      <c r="C36" s="382"/>
    </row>
    <row r="37">
      <c r="C37" s="382"/>
    </row>
    <row r="38">
      <c r="C38" s="382"/>
    </row>
    <row r="39">
      <c r="C39" s="382"/>
    </row>
    <row r="40">
      <c r="C40" s="382"/>
    </row>
    <row r="41">
      <c r="C41" s="382"/>
    </row>
    <row r="42">
      <c r="C42" s="382"/>
    </row>
    <row r="43">
      <c r="C43" s="382"/>
    </row>
    <row r="44">
      <c r="C44" s="382"/>
    </row>
    <row r="45">
      <c r="C45" s="382"/>
    </row>
    <row r="46">
      <c r="C46" s="382"/>
    </row>
    <row r="47">
      <c r="C47" s="382"/>
    </row>
    <row r="48">
      <c r="C48" s="382"/>
    </row>
    <row r="49">
      <c r="C49" s="382"/>
    </row>
    <row r="50">
      <c r="C50" s="382"/>
    </row>
    <row r="51">
      <c r="C51" s="382"/>
    </row>
    <row r="52">
      <c r="C52" s="382"/>
    </row>
    <row r="53">
      <c r="C53" s="382"/>
    </row>
    <row r="54">
      <c r="C54" s="382"/>
    </row>
    <row r="55">
      <c r="C55" s="382"/>
    </row>
    <row r="56">
      <c r="C56" s="382"/>
    </row>
    <row r="57">
      <c r="C57" s="382"/>
    </row>
    <row r="58">
      <c r="C58" s="382"/>
    </row>
    <row r="59">
      <c r="C59" s="382"/>
    </row>
    <row r="60">
      <c r="C60" s="382"/>
    </row>
    <row r="61">
      <c r="C61" s="382"/>
    </row>
    <row r="62">
      <c r="C62" s="382"/>
    </row>
    <row r="63">
      <c r="C63" s="382"/>
    </row>
    <row r="64">
      <c r="C64" s="382"/>
    </row>
    <row r="65">
      <c r="C65" s="382"/>
    </row>
    <row r="66">
      <c r="C66" s="382"/>
    </row>
    <row r="67">
      <c r="C67" s="382"/>
    </row>
    <row r="68">
      <c r="C68" s="382"/>
    </row>
    <row r="69">
      <c r="C69" s="382"/>
    </row>
    <row r="70">
      <c r="C70" s="382"/>
    </row>
    <row r="71">
      <c r="C71" s="382"/>
    </row>
    <row r="72">
      <c r="C72" s="382"/>
    </row>
    <row r="73">
      <c r="C73" s="382"/>
    </row>
    <row r="74">
      <c r="C74" s="382"/>
    </row>
    <row r="75">
      <c r="C75" s="382"/>
    </row>
    <row r="76">
      <c r="C76" s="382"/>
    </row>
    <row r="77">
      <c r="C77" s="382"/>
    </row>
    <row r="78">
      <c r="C78" s="382"/>
    </row>
    <row r="79">
      <c r="C79" s="382"/>
    </row>
    <row r="80">
      <c r="C80" s="382"/>
    </row>
    <row r="81">
      <c r="C81" s="382"/>
    </row>
    <row r="82">
      <c r="C82" s="382"/>
    </row>
    <row r="83">
      <c r="C83" s="382"/>
    </row>
    <row r="84">
      <c r="C84" s="382"/>
    </row>
    <row r="85">
      <c r="C85" s="382"/>
    </row>
    <row r="86">
      <c r="C86" s="382"/>
    </row>
    <row r="87">
      <c r="C87" s="382"/>
    </row>
    <row r="88">
      <c r="C88" s="382"/>
    </row>
    <row r="89">
      <c r="C89" s="382"/>
    </row>
    <row r="90">
      <c r="C90" s="382"/>
    </row>
    <row r="91">
      <c r="C91" s="382"/>
    </row>
    <row r="92">
      <c r="C92" s="382"/>
    </row>
    <row r="93">
      <c r="C93" s="382"/>
    </row>
    <row r="94">
      <c r="C94" s="382"/>
    </row>
    <row r="95">
      <c r="C95" s="382"/>
    </row>
    <row r="96">
      <c r="C96" s="382"/>
    </row>
    <row r="97">
      <c r="C97" s="382"/>
    </row>
    <row r="98">
      <c r="C98" s="382"/>
    </row>
    <row r="99">
      <c r="C99" s="382"/>
    </row>
    <row r="100">
      <c r="C100" s="382"/>
    </row>
    <row r="101">
      <c r="C101" s="382"/>
    </row>
    <row r="102">
      <c r="C102" s="382"/>
    </row>
    <row r="103">
      <c r="C103" s="382"/>
    </row>
    <row r="104">
      <c r="C104" s="382"/>
    </row>
    <row r="105">
      <c r="C105" s="382"/>
    </row>
    <row r="106">
      <c r="C106" s="382"/>
    </row>
    <row r="107">
      <c r="C107" s="382"/>
    </row>
    <row r="108">
      <c r="C108" s="382"/>
    </row>
    <row r="109">
      <c r="C109" s="382"/>
    </row>
    <row r="110">
      <c r="C110" s="382"/>
    </row>
    <row r="111">
      <c r="C111" s="382"/>
    </row>
    <row r="112">
      <c r="C112" s="382"/>
    </row>
    <row r="113">
      <c r="C113" s="382"/>
    </row>
    <row r="114">
      <c r="C114" s="382"/>
    </row>
    <row r="115">
      <c r="C115" s="382"/>
    </row>
    <row r="116">
      <c r="C116" s="382"/>
    </row>
    <row r="117">
      <c r="C117" s="382"/>
    </row>
    <row r="118">
      <c r="C118" s="382"/>
    </row>
    <row r="119">
      <c r="C119" s="382"/>
    </row>
    <row r="120">
      <c r="C120" s="382"/>
    </row>
    <row r="121">
      <c r="C121" s="382"/>
    </row>
    <row r="122">
      <c r="C122" s="382"/>
    </row>
    <row r="123">
      <c r="C123" s="382"/>
    </row>
    <row r="124">
      <c r="C124" s="382"/>
    </row>
    <row r="125">
      <c r="C125" s="382"/>
    </row>
    <row r="126">
      <c r="C126" s="382"/>
    </row>
    <row r="127">
      <c r="C127" s="382"/>
    </row>
    <row r="128">
      <c r="C128" s="382"/>
    </row>
    <row r="129">
      <c r="C129" s="382"/>
    </row>
    <row r="130">
      <c r="C130" s="382"/>
    </row>
    <row r="131">
      <c r="C131" s="382"/>
    </row>
    <row r="132">
      <c r="C132" s="382"/>
    </row>
    <row r="133">
      <c r="C133" s="382"/>
    </row>
    <row r="134">
      <c r="C134" s="382"/>
    </row>
    <row r="135">
      <c r="C135" s="382"/>
    </row>
    <row r="136">
      <c r="C136" s="382"/>
    </row>
    <row r="137">
      <c r="C137" s="382"/>
    </row>
    <row r="138">
      <c r="C138" s="382"/>
    </row>
    <row r="139">
      <c r="C139" s="382"/>
    </row>
    <row r="140">
      <c r="C140" s="382"/>
    </row>
    <row r="141">
      <c r="C141" s="382"/>
    </row>
    <row r="142">
      <c r="C142" s="382"/>
    </row>
    <row r="143">
      <c r="C143" s="382"/>
    </row>
    <row r="144">
      <c r="C144" s="382"/>
    </row>
    <row r="145">
      <c r="C145" s="382"/>
    </row>
    <row r="146">
      <c r="C146" s="382"/>
    </row>
    <row r="147">
      <c r="C147" s="382"/>
    </row>
    <row r="148">
      <c r="C148" s="382"/>
    </row>
    <row r="149">
      <c r="C149" s="382"/>
    </row>
    <row r="150">
      <c r="C150" s="382"/>
    </row>
    <row r="151">
      <c r="C151" s="382"/>
    </row>
    <row r="152">
      <c r="C152" s="382"/>
    </row>
    <row r="153">
      <c r="C153" s="382"/>
    </row>
    <row r="154">
      <c r="C154" s="382"/>
    </row>
    <row r="155">
      <c r="C155" s="382"/>
    </row>
    <row r="156">
      <c r="C156" s="382"/>
    </row>
    <row r="157">
      <c r="C157" s="382"/>
    </row>
    <row r="158">
      <c r="C158" s="382"/>
    </row>
    <row r="159">
      <c r="C159" s="382"/>
    </row>
    <row r="160">
      <c r="C160" s="382"/>
    </row>
    <row r="161">
      <c r="C161" s="382"/>
    </row>
    <row r="162">
      <c r="C162" s="382"/>
    </row>
    <row r="163">
      <c r="C163" s="382"/>
    </row>
    <row r="164">
      <c r="C164" s="382"/>
    </row>
    <row r="165">
      <c r="C165" s="382"/>
    </row>
    <row r="166">
      <c r="C166" s="382"/>
    </row>
    <row r="167">
      <c r="C167" s="382"/>
    </row>
    <row r="168">
      <c r="C168" s="382"/>
    </row>
    <row r="169">
      <c r="C169" s="382"/>
    </row>
    <row r="170">
      <c r="C170" s="382"/>
    </row>
    <row r="171">
      <c r="C171" s="382"/>
    </row>
    <row r="172">
      <c r="C172" s="382"/>
    </row>
    <row r="173">
      <c r="C173" s="382"/>
    </row>
    <row r="174">
      <c r="C174" s="382"/>
    </row>
    <row r="175">
      <c r="C175" s="382"/>
    </row>
    <row r="176">
      <c r="C176" s="382"/>
    </row>
    <row r="177">
      <c r="C177" s="382"/>
    </row>
    <row r="178">
      <c r="C178" s="382"/>
    </row>
    <row r="179">
      <c r="C179" s="382"/>
    </row>
    <row r="180">
      <c r="C180" s="382"/>
    </row>
    <row r="181">
      <c r="C181" s="382"/>
    </row>
    <row r="182">
      <c r="C182" s="382"/>
    </row>
    <row r="183">
      <c r="C183" s="382"/>
    </row>
    <row r="184">
      <c r="C184" s="382"/>
    </row>
    <row r="185">
      <c r="C185" s="382"/>
    </row>
    <row r="186">
      <c r="C186" s="382"/>
    </row>
    <row r="187">
      <c r="C187" s="382"/>
    </row>
    <row r="188">
      <c r="C188" s="382"/>
    </row>
    <row r="189">
      <c r="C189" s="382"/>
    </row>
    <row r="190">
      <c r="C190" s="382"/>
    </row>
    <row r="191">
      <c r="C191" s="382"/>
    </row>
    <row r="192">
      <c r="C192" s="382"/>
    </row>
    <row r="193">
      <c r="C193" s="382"/>
    </row>
    <row r="194">
      <c r="C194" s="382"/>
    </row>
    <row r="195">
      <c r="C195" s="382"/>
    </row>
    <row r="196">
      <c r="C196" s="382"/>
    </row>
    <row r="197">
      <c r="C197" s="382"/>
    </row>
    <row r="198">
      <c r="C198" s="382"/>
    </row>
    <row r="199">
      <c r="C199" s="382"/>
    </row>
    <row r="200">
      <c r="C200" s="382"/>
    </row>
    <row r="201">
      <c r="C201" s="382"/>
    </row>
    <row r="202">
      <c r="C202" s="382"/>
    </row>
    <row r="203">
      <c r="C203" s="382"/>
    </row>
    <row r="204">
      <c r="C204" s="382"/>
    </row>
    <row r="205">
      <c r="C205" s="382"/>
    </row>
    <row r="206">
      <c r="C206" s="382"/>
    </row>
    <row r="207">
      <c r="C207" s="382"/>
    </row>
    <row r="208">
      <c r="C208" s="382"/>
    </row>
    <row r="209">
      <c r="C209" s="382"/>
    </row>
    <row r="210">
      <c r="C210" s="382"/>
    </row>
    <row r="211">
      <c r="C211" s="382"/>
    </row>
    <row r="212">
      <c r="C212" s="382"/>
    </row>
    <row r="213">
      <c r="C213" s="382"/>
    </row>
    <row r="214">
      <c r="C214" s="382"/>
    </row>
    <row r="215">
      <c r="C215" s="382"/>
    </row>
    <row r="216">
      <c r="C216" s="382"/>
    </row>
    <row r="217">
      <c r="C217" s="382"/>
    </row>
    <row r="218">
      <c r="C218" s="382"/>
    </row>
    <row r="219">
      <c r="C219" s="382"/>
    </row>
    <row r="220">
      <c r="C220" s="382"/>
    </row>
    <row r="221">
      <c r="C221" s="382"/>
    </row>
    <row r="222">
      <c r="C222" s="382"/>
    </row>
    <row r="223">
      <c r="C223" s="382"/>
    </row>
    <row r="224">
      <c r="C224" s="382"/>
    </row>
    <row r="225">
      <c r="C225" s="382"/>
    </row>
    <row r="226">
      <c r="C226" s="382"/>
    </row>
    <row r="227">
      <c r="C227" s="382"/>
    </row>
    <row r="228">
      <c r="C228" s="382"/>
    </row>
    <row r="229">
      <c r="C229" s="382"/>
    </row>
    <row r="230">
      <c r="C230" s="382"/>
    </row>
    <row r="231">
      <c r="C231" s="382"/>
    </row>
    <row r="232">
      <c r="C232" s="382"/>
    </row>
    <row r="233">
      <c r="C233" s="382"/>
    </row>
    <row r="234">
      <c r="C234" s="382"/>
    </row>
    <row r="235">
      <c r="C235" s="382"/>
    </row>
    <row r="236">
      <c r="C236" s="382"/>
    </row>
    <row r="237">
      <c r="C237" s="382"/>
    </row>
    <row r="238">
      <c r="C238" s="382"/>
    </row>
    <row r="239">
      <c r="C239" s="382"/>
    </row>
    <row r="240">
      <c r="C240" s="382"/>
    </row>
    <row r="241">
      <c r="C241" s="382"/>
    </row>
    <row r="242">
      <c r="C242" s="382"/>
    </row>
    <row r="243">
      <c r="C243" s="382"/>
    </row>
    <row r="244">
      <c r="C244" s="382"/>
    </row>
    <row r="245">
      <c r="C245" s="382"/>
    </row>
    <row r="246">
      <c r="C246" s="382"/>
    </row>
    <row r="247">
      <c r="C247" s="382"/>
    </row>
    <row r="248">
      <c r="C248" s="382"/>
    </row>
    <row r="249">
      <c r="C249" s="382"/>
    </row>
    <row r="250">
      <c r="C250" s="382"/>
    </row>
    <row r="251">
      <c r="C251" s="382"/>
    </row>
    <row r="252">
      <c r="C252" s="382"/>
    </row>
    <row r="253">
      <c r="C253" s="382"/>
    </row>
    <row r="254">
      <c r="C254" s="382"/>
    </row>
    <row r="255">
      <c r="C255" s="382"/>
    </row>
    <row r="256">
      <c r="C256" s="382"/>
    </row>
    <row r="257">
      <c r="C257" s="382"/>
    </row>
    <row r="258">
      <c r="C258" s="382"/>
    </row>
    <row r="259">
      <c r="C259" s="382"/>
    </row>
    <row r="260">
      <c r="C260" s="382"/>
    </row>
    <row r="261">
      <c r="C261" s="382"/>
    </row>
    <row r="262">
      <c r="C262" s="382"/>
    </row>
    <row r="263">
      <c r="C263" s="382"/>
    </row>
    <row r="264">
      <c r="C264" s="382"/>
    </row>
    <row r="265">
      <c r="C265" s="382"/>
    </row>
    <row r="266">
      <c r="C266" s="382"/>
    </row>
    <row r="267">
      <c r="C267" s="382"/>
    </row>
    <row r="268">
      <c r="C268" s="382"/>
    </row>
    <row r="269">
      <c r="C269" s="382"/>
    </row>
    <row r="270">
      <c r="C270" s="382"/>
    </row>
    <row r="271">
      <c r="C271" s="382"/>
    </row>
    <row r="272">
      <c r="C272" s="382"/>
    </row>
    <row r="273">
      <c r="C273" s="382"/>
    </row>
    <row r="274">
      <c r="C274" s="382"/>
    </row>
    <row r="275">
      <c r="C275" s="382"/>
    </row>
    <row r="276">
      <c r="C276" s="382"/>
    </row>
    <row r="277">
      <c r="C277" s="382"/>
    </row>
    <row r="278">
      <c r="C278" s="382"/>
    </row>
    <row r="279">
      <c r="C279" s="382"/>
    </row>
    <row r="280">
      <c r="C280" s="382"/>
    </row>
    <row r="281">
      <c r="C281" s="382"/>
    </row>
    <row r="282">
      <c r="C282" s="382"/>
    </row>
    <row r="283">
      <c r="C283" s="382"/>
    </row>
    <row r="284">
      <c r="C284" s="382"/>
    </row>
    <row r="285">
      <c r="C285" s="382"/>
    </row>
    <row r="286">
      <c r="C286" s="382"/>
    </row>
    <row r="287">
      <c r="C287" s="382"/>
    </row>
    <row r="288">
      <c r="C288" s="382"/>
    </row>
    <row r="289">
      <c r="C289" s="382"/>
    </row>
    <row r="290">
      <c r="C290" s="382"/>
    </row>
    <row r="291">
      <c r="C291" s="382"/>
    </row>
    <row r="292">
      <c r="C292" s="382"/>
    </row>
    <row r="293">
      <c r="C293" s="382"/>
    </row>
    <row r="294">
      <c r="C294" s="382"/>
    </row>
    <row r="295">
      <c r="C295" s="382"/>
    </row>
    <row r="296">
      <c r="C296" s="382"/>
    </row>
    <row r="297">
      <c r="C297" s="382"/>
    </row>
    <row r="298">
      <c r="C298" s="382"/>
    </row>
    <row r="299">
      <c r="C299" s="382"/>
    </row>
    <row r="300">
      <c r="C300" s="382"/>
    </row>
    <row r="301">
      <c r="C301" s="382"/>
    </row>
    <row r="302">
      <c r="C302" s="382"/>
    </row>
    <row r="303">
      <c r="C303" s="382"/>
    </row>
    <row r="304">
      <c r="C304" s="382"/>
    </row>
    <row r="305">
      <c r="C305" s="382"/>
    </row>
    <row r="306">
      <c r="C306" s="382"/>
    </row>
    <row r="307">
      <c r="C307" s="382"/>
    </row>
    <row r="308">
      <c r="C308" s="382"/>
    </row>
    <row r="309">
      <c r="C309" s="382"/>
    </row>
    <row r="310">
      <c r="C310" s="382"/>
    </row>
    <row r="311">
      <c r="C311" s="382"/>
    </row>
    <row r="312">
      <c r="C312" s="382"/>
    </row>
    <row r="313">
      <c r="C313" s="382"/>
    </row>
    <row r="314">
      <c r="C314" s="382"/>
    </row>
    <row r="315">
      <c r="C315" s="382"/>
    </row>
    <row r="316">
      <c r="C316" s="382"/>
    </row>
    <row r="317">
      <c r="C317" s="382"/>
    </row>
    <row r="318">
      <c r="C318" s="382"/>
    </row>
    <row r="319">
      <c r="C319" s="382"/>
    </row>
    <row r="320">
      <c r="C320" s="382"/>
    </row>
    <row r="321">
      <c r="C321" s="382"/>
    </row>
    <row r="322">
      <c r="C322" s="382"/>
    </row>
    <row r="323">
      <c r="C323" s="382"/>
    </row>
    <row r="324">
      <c r="C324" s="382"/>
    </row>
    <row r="325">
      <c r="C325" s="382"/>
    </row>
    <row r="326">
      <c r="C326" s="382"/>
    </row>
    <row r="327">
      <c r="C327" s="382"/>
    </row>
    <row r="328">
      <c r="C328" s="382"/>
    </row>
    <row r="329">
      <c r="C329" s="382"/>
    </row>
    <row r="330">
      <c r="C330" s="382"/>
    </row>
    <row r="331">
      <c r="C331" s="382"/>
    </row>
    <row r="332">
      <c r="C332" s="382"/>
    </row>
    <row r="333">
      <c r="C333" s="382"/>
    </row>
    <row r="334">
      <c r="C334" s="382"/>
    </row>
    <row r="335">
      <c r="C335" s="382"/>
    </row>
    <row r="336">
      <c r="C336" s="382"/>
    </row>
    <row r="337">
      <c r="C337" s="382"/>
    </row>
    <row r="338">
      <c r="C338" s="382"/>
    </row>
    <row r="339">
      <c r="C339" s="382"/>
    </row>
    <row r="340">
      <c r="C340" s="382"/>
    </row>
    <row r="341">
      <c r="C341" s="382"/>
    </row>
    <row r="342">
      <c r="C342" s="382"/>
    </row>
    <row r="343">
      <c r="C343" s="382"/>
    </row>
    <row r="344">
      <c r="C344" s="382"/>
    </row>
    <row r="345">
      <c r="C345" s="382"/>
    </row>
    <row r="346">
      <c r="C346" s="382"/>
    </row>
    <row r="347">
      <c r="C347" s="382"/>
    </row>
    <row r="348">
      <c r="C348" s="382"/>
    </row>
    <row r="349">
      <c r="C349" s="382"/>
    </row>
    <row r="350">
      <c r="C350" s="382"/>
    </row>
    <row r="351">
      <c r="C351" s="382"/>
    </row>
    <row r="352">
      <c r="C352" s="382"/>
    </row>
    <row r="353">
      <c r="C353" s="382"/>
    </row>
    <row r="354">
      <c r="C354" s="382"/>
    </row>
    <row r="355">
      <c r="C355" s="382"/>
    </row>
    <row r="356">
      <c r="C356" s="382"/>
    </row>
    <row r="357">
      <c r="C357" s="382"/>
    </row>
    <row r="358">
      <c r="C358" s="382"/>
    </row>
    <row r="359">
      <c r="C359" s="382"/>
    </row>
    <row r="360">
      <c r="C360" s="382"/>
    </row>
    <row r="361">
      <c r="C361" s="382"/>
    </row>
    <row r="362">
      <c r="C362" s="382"/>
    </row>
    <row r="363">
      <c r="C363" s="382"/>
    </row>
    <row r="364">
      <c r="C364" s="382"/>
    </row>
    <row r="365">
      <c r="C365" s="382"/>
    </row>
    <row r="366">
      <c r="C366" s="382"/>
    </row>
    <row r="367">
      <c r="C367" s="382"/>
    </row>
    <row r="368">
      <c r="C368" s="382"/>
    </row>
    <row r="369">
      <c r="C369" s="382"/>
    </row>
    <row r="370">
      <c r="C370" s="382"/>
    </row>
    <row r="371">
      <c r="C371" s="382"/>
    </row>
    <row r="372">
      <c r="C372" s="382"/>
    </row>
    <row r="373">
      <c r="C373" s="382"/>
    </row>
    <row r="374">
      <c r="C374" s="382"/>
    </row>
    <row r="375">
      <c r="C375" s="382"/>
    </row>
    <row r="376">
      <c r="C376" s="382"/>
    </row>
    <row r="377">
      <c r="C377" s="382"/>
    </row>
    <row r="378">
      <c r="C378" s="382"/>
    </row>
    <row r="379">
      <c r="C379" s="382"/>
    </row>
    <row r="380">
      <c r="C380" s="382"/>
    </row>
    <row r="381">
      <c r="C381" s="382"/>
    </row>
    <row r="382">
      <c r="C382" s="382"/>
    </row>
    <row r="383">
      <c r="C383" s="382"/>
    </row>
    <row r="384">
      <c r="C384" s="382"/>
    </row>
    <row r="385">
      <c r="C385" s="382"/>
    </row>
    <row r="386">
      <c r="C386" s="382"/>
    </row>
    <row r="387">
      <c r="C387" s="382"/>
    </row>
    <row r="388">
      <c r="C388" s="382"/>
    </row>
    <row r="389">
      <c r="C389" s="382"/>
    </row>
    <row r="390">
      <c r="C390" s="382"/>
    </row>
    <row r="391">
      <c r="C391" s="382"/>
    </row>
    <row r="392">
      <c r="C392" s="382"/>
    </row>
    <row r="393">
      <c r="C393" s="382"/>
    </row>
    <row r="394">
      <c r="C394" s="382"/>
    </row>
    <row r="395">
      <c r="C395" s="382"/>
    </row>
    <row r="396">
      <c r="C396" s="382"/>
    </row>
    <row r="397">
      <c r="C397" s="382"/>
    </row>
    <row r="398">
      <c r="C398" s="382"/>
    </row>
    <row r="399">
      <c r="C399" s="382"/>
    </row>
    <row r="400">
      <c r="C400" s="382"/>
    </row>
    <row r="401">
      <c r="C401" s="382"/>
    </row>
    <row r="402">
      <c r="C402" s="382"/>
    </row>
    <row r="403">
      <c r="C403" s="382"/>
    </row>
    <row r="404">
      <c r="C404" s="382"/>
    </row>
    <row r="405">
      <c r="C405" s="382"/>
    </row>
    <row r="406">
      <c r="C406" s="382"/>
    </row>
    <row r="407">
      <c r="C407" s="382"/>
    </row>
    <row r="408">
      <c r="C408" s="382"/>
    </row>
    <row r="409">
      <c r="C409" s="382"/>
    </row>
    <row r="410">
      <c r="C410" s="382"/>
    </row>
    <row r="411">
      <c r="C411" s="382"/>
    </row>
    <row r="412">
      <c r="C412" s="382"/>
    </row>
    <row r="413">
      <c r="C413" s="382"/>
    </row>
    <row r="414">
      <c r="C414" s="382"/>
    </row>
    <row r="415">
      <c r="C415" s="382"/>
    </row>
    <row r="416">
      <c r="C416" s="382"/>
    </row>
    <row r="417">
      <c r="C417" s="382"/>
    </row>
    <row r="418">
      <c r="C418" s="382"/>
    </row>
    <row r="419">
      <c r="C419" s="382"/>
    </row>
    <row r="420">
      <c r="C420" s="382"/>
    </row>
    <row r="421">
      <c r="C421" s="382"/>
    </row>
    <row r="422">
      <c r="C422" s="382"/>
    </row>
    <row r="423">
      <c r="C423" s="382"/>
    </row>
    <row r="424">
      <c r="C424" s="382"/>
    </row>
    <row r="425">
      <c r="C425" s="382"/>
    </row>
    <row r="426">
      <c r="C426" s="382"/>
    </row>
    <row r="427">
      <c r="C427" s="382"/>
    </row>
    <row r="428">
      <c r="C428" s="382"/>
    </row>
    <row r="429">
      <c r="C429" s="382"/>
    </row>
    <row r="430">
      <c r="C430" s="382"/>
    </row>
    <row r="431">
      <c r="C431" s="382"/>
    </row>
    <row r="432">
      <c r="C432" s="382"/>
    </row>
    <row r="433">
      <c r="C433" s="382"/>
    </row>
    <row r="434">
      <c r="C434" s="382"/>
    </row>
    <row r="435">
      <c r="C435" s="382"/>
    </row>
    <row r="436">
      <c r="C436" s="382"/>
    </row>
    <row r="437">
      <c r="C437" s="382"/>
    </row>
    <row r="438">
      <c r="C438" s="382"/>
    </row>
    <row r="439">
      <c r="C439" s="382"/>
    </row>
    <row r="440">
      <c r="C440" s="382"/>
    </row>
    <row r="441">
      <c r="C441" s="382"/>
    </row>
    <row r="442">
      <c r="C442" s="382"/>
    </row>
    <row r="443">
      <c r="C443" s="382"/>
    </row>
    <row r="444">
      <c r="C444" s="382"/>
    </row>
    <row r="445">
      <c r="C445" s="382"/>
    </row>
    <row r="446">
      <c r="C446" s="382"/>
    </row>
    <row r="447">
      <c r="C447" s="382"/>
    </row>
    <row r="448">
      <c r="C448" s="382"/>
    </row>
    <row r="449">
      <c r="C449" s="382"/>
    </row>
    <row r="450">
      <c r="C450" s="382"/>
    </row>
    <row r="451">
      <c r="C451" s="382"/>
    </row>
    <row r="452">
      <c r="C452" s="382"/>
    </row>
    <row r="453">
      <c r="C453" s="382"/>
    </row>
    <row r="454">
      <c r="C454" s="382"/>
    </row>
    <row r="455">
      <c r="C455" s="382"/>
    </row>
    <row r="456">
      <c r="C456" s="382"/>
    </row>
    <row r="457">
      <c r="C457" s="382"/>
    </row>
    <row r="458">
      <c r="C458" s="382"/>
    </row>
    <row r="459">
      <c r="C459" s="382"/>
    </row>
    <row r="460">
      <c r="C460" s="382"/>
    </row>
    <row r="461">
      <c r="C461" s="382"/>
    </row>
    <row r="462">
      <c r="C462" s="382"/>
    </row>
    <row r="463">
      <c r="C463" s="382"/>
    </row>
    <row r="464">
      <c r="C464" s="382"/>
    </row>
    <row r="465">
      <c r="C465" s="382"/>
    </row>
    <row r="466">
      <c r="C466" s="382"/>
    </row>
    <row r="467">
      <c r="C467" s="382"/>
    </row>
    <row r="468">
      <c r="C468" s="382"/>
    </row>
    <row r="469">
      <c r="C469" s="382"/>
    </row>
    <row r="470">
      <c r="C470" s="382"/>
    </row>
    <row r="471">
      <c r="C471" s="382"/>
    </row>
    <row r="472">
      <c r="C472" s="382"/>
    </row>
    <row r="473">
      <c r="C473" s="382"/>
    </row>
    <row r="474">
      <c r="C474" s="382"/>
    </row>
    <row r="475">
      <c r="C475" s="382"/>
    </row>
    <row r="476">
      <c r="C476" s="382"/>
    </row>
    <row r="477">
      <c r="C477" s="382"/>
    </row>
    <row r="478">
      <c r="C478" s="382"/>
    </row>
    <row r="479">
      <c r="C479" s="382"/>
    </row>
    <row r="480">
      <c r="C480" s="382"/>
    </row>
    <row r="481">
      <c r="C481" s="382"/>
    </row>
    <row r="482">
      <c r="C482" s="382"/>
    </row>
    <row r="483">
      <c r="C483" s="382"/>
    </row>
    <row r="484">
      <c r="C484" s="382"/>
    </row>
    <row r="485">
      <c r="C485" s="382"/>
    </row>
    <row r="486">
      <c r="C486" s="382"/>
    </row>
    <row r="487">
      <c r="C487" s="382"/>
    </row>
    <row r="488">
      <c r="C488" s="382"/>
    </row>
    <row r="489">
      <c r="C489" s="382"/>
    </row>
    <row r="490">
      <c r="C490" s="382"/>
    </row>
    <row r="491">
      <c r="C491" s="382"/>
    </row>
    <row r="492">
      <c r="C492" s="382"/>
    </row>
    <row r="493">
      <c r="C493" s="382"/>
    </row>
    <row r="494">
      <c r="C494" s="382"/>
    </row>
    <row r="495">
      <c r="C495" s="382"/>
    </row>
    <row r="496">
      <c r="C496" s="382"/>
    </row>
    <row r="497">
      <c r="C497" s="382"/>
    </row>
    <row r="498">
      <c r="C498" s="382"/>
    </row>
    <row r="499">
      <c r="C499" s="382"/>
    </row>
    <row r="500">
      <c r="C500" s="382"/>
    </row>
    <row r="501">
      <c r="C501" s="382"/>
    </row>
    <row r="502">
      <c r="C502" s="382"/>
    </row>
    <row r="503">
      <c r="C503" s="382"/>
    </row>
    <row r="504">
      <c r="C504" s="382"/>
    </row>
    <row r="505">
      <c r="C505" s="382"/>
    </row>
    <row r="506">
      <c r="C506" s="382"/>
    </row>
    <row r="507">
      <c r="C507" s="382"/>
    </row>
    <row r="508">
      <c r="C508" s="382"/>
    </row>
    <row r="509">
      <c r="C509" s="382"/>
    </row>
    <row r="510">
      <c r="C510" s="382"/>
    </row>
    <row r="511">
      <c r="C511" s="382"/>
    </row>
    <row r="512">
      <c r="C512" s="382"/>
    </row>
    <row r="513">
      <c r="C513" s="382"/>
    </row>
    <row r="514">
      <c r="C514" s="382"/>
    </row>
    <row r="515">
      <c r="C515" s="382"/>
    </row>
    <row r="516">
      <c r="C516" s="382"/>
    </row>
    <row r="517">
      <c r="C517" s="382"/>
    </row>
    <row r="518">
      <c r="C518" s="382"/>
    </row>
    <row r="519">
      <c r="C519" s="382"/>
    </row>
    <row r="520">
      <c r="C520" s="382"/>
    </row>
    <row r="521">
      <c r="C521" s="382"/>
    </row>
    <row r="522">
      <c r="C522" s="382"/>
    </row>
    <row r="523">
      <c r="C523" s="382"/>
    </row>
    <row r="524">
      <c r="C524" s="382"/>
    </row>
    <row r="525">
      <c r="C525" s="382"/>
    </row>
    <row r="526">
      <c r="C526" s="382"/>
    </row>
    <row r="527">
      <c r="C527" s="382"/>
    </row>
    <row r="528">
      <c r="C528" s="382"/>
    </row>
    <row r="529">
      <c r="C529" s="382"/>
    </row>
    <row r="530">
      <c r="C530" s="382"/>
    </row>
    <row r="531">
      <c r="C531" s="382"/>
    </row>
    <row r="532">
      <c r="C532" s="382"/>
    </row>
    <row r="533">
      <c r="C533" s="382"/>
    </row>
    <row r="534">
      <c r="C534" s="382"/>
    </row>
    <row r="535">
      <c r="C535" s="382"/>
    </row>
    <row r="536">
      <c r="C536" s="382"/>
    </row>
    <row r="537">
      <c r="C537" s="382"/>
    </row>
    <row r="538">
      <c r="C538" s="382"/>
    </row>
    <row r="539">
      <c r="C539" s="382"/>
    </row>
    <row r="540">
      <c r="C540" s="382"/>
    </row>
    <row r="541">
      <c r="C541" s="382"/>
    </row>
    <row r="542">
      <c r="C542" s="382"/>
    </row>
    <row r="543">
      <c r="C543" s="382"/>
    </row>
    <row r="544">
      <c r="C544" s="382"/>
    </row>
    <row r="545">
      <c r="C545" s="382"/>
    </row>
    <row r="546">
      <c r="C546" s="382"/>
    </row>
    <row r="547">
      <c r="C547" s="382"/>
    </row>
    <row r="548">
      <c r="C548" s="382"/>
    </row>
    <row r="549">
      <c r="C549" s="382"/>
    </row>
    <row r="550">
      <c r="C550" s="382"/>
    </row>
    <row r="551">
      <c r="C551" s="382"/>
    </row>
    <row r="552">
      <c r="C552" s="382"/>
    </row>
    <row r="553">
      <c r="C553" s="382"/>
    </row>
    <row r="554">
      <c r="C554" s="382"/>
    </row>
    <row r="555">
      <c r="C555" s="382"/>
    </row>
    <row r="556">
      <c r="C556" s="382"/>
    </row>
    <row r="557">
      <c r="C557" s="382"/>
    </row>
    <row r="558">
      <c r="C558" s="382"/>
    </row>
    <row r="559">
      <c r="C559" s="382"/>
    </row>
    <row r="560">
      <c r="C560" s="382"/>
    </row>
    <row r="561">
      <c r="C561" s="382"/>
    </row>
    <row r="562">
      <c r="C562" s="382"/>
    </row>
    <row r="563">
      <c r="C563" s="382"/>
    </row>
    <row r="564">
      <c r="C564" s="382"/>
    </row>
    <row r="565">
      <c r="C565" s="382"/>
    </row>
    <row r="566">
      <c r="C566" s="382"/>
    </row>
    <row r="567">
      <c r="C567" s="382"/>
    </row>
    <row r="568">
      <c r="C568" s="382"/>
    </row>
    <row r="569">
      <c r="C569" s="382"/>
    </row>
    <row r="570">
      <c r="C570" s="382"/>
    </row>
    <row r="571">
      <c r="C571" s="382"/>
    </row>
    <row r="572">
      <c r="C572" s="382"/>
    </row>
    <row r="573">
      <c r="C573" s="382"/>
    </row>
    <row r="574">
      <c r="C574" s="382"/>
    </row>
    <row r="575">
      <c r="C575" s="382"/>
    </row>
    <row r="576">
      <c r="C576" s="382"/>
    </row>
    <row r="577">
      <c r="C577" s="382"/>
    </row>
    <row r="578">
      <c r="C578" s="382"/>
    </row>
    <row r="579">
      <c r="C579" s="382"/>
    </row>
    <row r="580">
      <c r="C580" s="382"/>
    </row>
    <row r="581">
      <c r="C581" s="382"/>
    </row>
    <row r="582">
      <c r="C582" s="382"/>
    </row>
    <row r="583">
      <c r="C583" s="382"/>
    </row>
    <row r="584">
      <c r="C584" s="382"/>
    </row>
    <row r="585">
      <c r="C585" s="382"/>
    </row>
    <row r="586">
      <c r="C586" s="382"/>
    </row>
    <row r="587">
      <c r="C587" s="382"/>
    </row>
    <row r="588">
      <c r="C588" s="382"/>
    </row>
    <row r="589">
      <c r="C589" s="382"/>
    </row>
    <row r="590">
      <c r="C590" s="382"/>
    </row>
    <row r="591">
      <c r="C591" s="382"/>
    </row>
    <row r="592">
      <c r="C592" s="382"/>
    </row>
    <row r="593">
      <c r="C593" s="382"/>
    </row>
    <row r="594">
      <c r="C594" s="382"/>
    </row>
    <row r="595">
      <c r="C595" s="382"/>
    </row>
    <row r="596">
      <c r="C596" s="382"/>
    </row>
    <row r="597">
      <c r="C597" s="382"/>
    </row>
    <row r="598">
      <c r="C598" s="382"/>
    </row>
    <row r="599">
      <c r="C599" s="382"/>
    </row>
    <row r="600">
      <c r="C600" s="382"/>
    </row>
    <row r="601">
      <c r="C601" s="382"/>
    </row>
    <row r="602">
      <c r="C602" s="382"/>
    </row>
    <row r="603">
      <c r="C603" s="382"/>
    </row>
    <row r="604">
      <c r="C604" s="382"/>
    </row>
    <row r="605">
      <c r="C605" s="382"/>
    </row>
    <row r="606">
      <c r="C606" s="382"/>
    </row>
    <row r="607">
      <c r="C607" s="382"/>
    </row>
    <row r="608">
      <c r="C608" s="382"/>
    </row>
    <row r="609">
      <c r="C609" s="382"/>
    </row>
    <row r="610">
      <c r="C610" s="382"/>
    </row>
    <row r="611">
      <c r="C611" s="382"/>
    </row>
    <row r="612">
      <c r="C612" s="382"/>
    </row>
    <row r="613">
      <c r="C613" s="382"/>
    </row>
    <row r="614">
      <c r="C614" s="382"/>
    </row>
    <row r="615">
      <c r="C615" s="382"/>
    </row>
    <row r="616">
      <c r="C616" s="382"/>
    </row>
    <row r="617">
      <c r="C617" s="382"/>
    </row>
    <row r="618">
      <c r="C618" s="382"/>
    </row>
    <row r="619">
      <c r="C619" s="382"/>
    </row>
    <row r="620">
      <c r="C620" s="382"/>
    </row>
    <row r="621">
      <c r="C621" s="382"/>
    </row>
    <row r="622">
      <c r="C622" s="382"/>
    </row>
    <row r="623">
      <c r="C623" s="382"/>
    </row>
    <row r="624">
      <c r="C624" s="382"/>
    </row>
    <row r="625">
      <c r="C625" s="382"/>
    </row>
    <row r="626">
      <c r="C626" s="382"/>
    </row>
    <row r="627">
      <c r="C627" s="382"/>
    </row>
    <row r="628">
      <c r="C628" s="382"/>
    </row>
    <row r="629">
      <c r="C629" s="382"/>
    </row>
    <row r="630">
      <c r="C630" s="382"/>
    </row>
    <row r="631">
      <c r="C631" s="382"/>
    </row>
    <row r="632">
      <c r="C632" s="382"/>
    </row>
    <row r="633">
      <c r="C633" s="382"/>
    </row>
    <row r="634">
      <c r="C634" s="382"/>
    </row>
    <row r="635">
      <c r="C635" s="382"/>
    </row>
    <row r="636">
      <c r="C636" s="382"/>
    </row>
    <row r="637">
      <c r="C637" s="382"/>
    </row>
    <row r="638">
      <c r="C638" s="382"/>
    </row>
    <row r="639">
      <c r="C639" s="382"/>
    </row>
    <row r="640">
      <c r="C640" s="382"/>
    </row>
    <row r="641">
      <c r="C641" s="382"/>
    </row>
    <row r="642">
      <c r="C642" s="382"/>
    </row>
    <row r="643">
      <c r="C643" s="382"/>
    </row>
    <row r="644">
      <c r="C644" s="382"/>
    </row>
    <row r="645">
      <c r="C645" s="382"/>
    </row>
    <row r="646">
      <c r="C646" s="382"/>
    </row>
    <row r="647">
      <c r="C647" s="382"/>
    </row>
    <row r="648">
      <c r="C648" s="382"/>
    </row>
    <row r="649">
      <c r="C649" s="382"/>
    </row>
    <row r="650">
      <c r="C650" s="382"/>
    </row>
    <row r="651">
      <c r="C651" s="382"/>
    </row>
    <row r="652">
      <c r="C652" s="382"/>
    </row>
    <row r="653">
      <c r="C653" s="382"/>
    </row>
    <row r="654">
      <c r="C654" s="382"/>
    </row>
    <row r="655">
      <c r="C655" s="382"/>
    </row>
    <row r="656">
      <c r="C656" s="382"/>
    </row>
    <row r="657">
      <c r="C657" s="382"/>
    </row>
    <row r="658">
      <c r="C658" s="382"/>
    </row>
    <row r="659">
      <c r="C659" s="382"/>
    </row>
    <row r="660">
      <c r="C660" s="382"/>
    </row>
    <row r="661">
      <c r="C661" s="382"/>
    </row>
    <row r="662">
      <c r="C662" s="382"/>
    </row>
    <row r="663">
      <c r="C663" s="382"/>
    </row>
    <row r="664">
      <c r="C664" s="382"/>
    </row>
    <row r="665">
      <c r="C665" s="382"/>
    </row>
    <row r="666">
      <c r="C666" s="382"/>
    </row>
    <row r="667">
      <c r="C667" s="382"/>
    </row>
    <row r="668">
      <c r="C668" s="382"/>
    </row>
    <row r="669">
      <c r="C669" s="382"/>
    </row>
    <row r="670">
      <c r="C670" s="382"/>
    </row>
    <row r="671">
      <c r="C671" s="382"/>
    </row>
    <row r="672">
      <c r="C672" s="382"/>
    </row>
    <row r="673">
      <c r="C673" s="382"/>
    </row>
    <row r="674">
      <c r="C674" s="382"/>
    </row>
    <row r="675">
      <c r="C675" s="382"/>
    </row>
    <row r="676">
      <c r="C676" s="382"/>
    </row>
    <row r="677">
      <c r="C677" s="382"/>
    </row>
    <row r="678">
      <c r="C678" s="382"/>
    </row>
    <row r="679">
      <c r="C679" s="382"/>
    </row>
    <row r="680">
      <c r="C680" s="382"/>
    </row>
    <row r="681">
      <c r="C681" s="382"/>
    </row>
    <row r="682">
      <c r="C682" s="382"/>
    </row>
    <row r="683">
      <c r="C683" s="382"/>
    </row>
    <row r="684">
      <c r="C684" s="382"/>
    </row>
    <row r="685">
      <c r="C685" s="382"/>
    </row>
    <row r="686">
      <c r="C686" s="382"/>
    </row>
    <row r="687">
      <c r="C687" s="382"/>
    </row>
    <row r="688">
      <c r="C688" s="382"/>
    </row>
    <row r="689">
      <c r="C689" s="382"/>
    </row>
    <row r="690">
      <c r="C690" s="382"/>
    </row>
    <row r="691">
      <c r="C691" s="382"/>
    </row>
    <row r="692">
      <c r="C692" s="382"/>
    </row>
    <row r="693">
      <c r="C693" s="382"/>
    </row>
    <row r="694">
      <c r="C694" s="382"/>
    </row>
    <row r="695">
      <c r="C695" s="382"/>
    </row>
    <row r="696">
      <c r="C696" s="382"/>
    </row>
    <row r="697">
      <c r="C697" s="382"/>
    </row>
    <row r="698">
      <c r="C698" s="382"/>
    </row>
    <row r="699">
      <c r="C699" s="382"/>
    </row>
    <row r="700">
      <c r="C700" s="382"/>
    </row>
    <row r="701">
      <c r="C701" s="382"/>
    </row>
    <row r="702">
      <c r="C702" s="382"/>
    </row>
    <row r="703">
      <c r="C703" s="382"/>
    </row>
    <row r="704">
      <c r="C704" s="382"/>
    </row>
    <row r="705">
      <c r="C705" s="382"/>
    </row>
    <row r="706">
      <c r="C706" s="382"/>
    </row>
    <row r="707">
      <c r="C707" s="382"/>
    </row>
    <row r="708">
      <c r="C708" s="382"/>
    </row>
    <row r="709">
      <c r="C709" s="382"/>
    </row>
    <row r="710">
      <c r="C710" s="382"/>
    </row>
    <row r="711">
      <c r="C711" s="382"/>
    </row>
    <row r="712">
      <c r="C712" s="382"/>
    </row>
    <row r="713">
      <c r="C713" s="382"/>
    </row>
    <row r="714">
      <c r="C714" s="382"/>
    </row>
    <row r="715">
      <c r="C715" s="382"/>
    </row>
    <row r="716">
      <c r="C716" s="382"/>
    </row>
    <row r="717">
      <c r="C717" s="382"/>
    </row>
    <row r="718">
      <c r="C718" s="382"/>
    </row>
    <row r="719">
      <c r="C719" s="382"/>
    </row>
    <row r="720">
      <c r="C720" s="382"/>
    </row>
    <row r="721">
      <c r="C721" s="382"/>
    </row>
    <row r="722">
      <c r="C722" s="382"/>
    </row>
    <row r="723">
      <c r="C723" s="382"/>
    </row>
    <row r="724">
      <c r="C724" s="382"/>
    </row>
    <row r="725">
      <c r="C725" s="382"/>
    </row>
    <row r="726">
      <c r="C726" s="382"/>
    </row>
    <row r="727">
      <c r="C727" s="382"/>
    </row>
    <row r="728">
      <c r="C728" s="382"/>
    </row>
    <row r="729">
      <c r="C729" s="382"/>
    </row>
    <row r="730">
      <c r="C730" s="382"/>
    </row>
    <row r="731">
      <c r="C731" s="382"/>
    </row>
    <row r="732">
      <c r="C732" s="382"/>
    </row>
    <row r="733">
      <c r="C733" s="382"/>
    </row>
    <row r="734">
      <c r="C734" s="382"/>
    </row>
    <row r="735">
      <c r="C735" s="382"/>
    </row>
    <row r="736">
      <c r="C736" s="382"/>
    </row>
    <row r="737">
      <c r="C737" s="382"/>
    </row>
    <row r="738">
      <c r="C738" s="382"/>
    </row>
    <row r="739">
      <c r="C739" s="382"/>
    </row>
    <row r="740">
      <c r="C740" s="382"/>
    </row>
    <row r="741">
      <c r="C741" s="382"/>
    </row>
    <row r="742">
      <c r="C742" s="382"/>
    </row>
    <row r="743">
      <c r="C743" s="382"/>
    </row>
    <row r="744">
      <c r="C744" s="382"/>
    </row>
    <row r="745">
      <c r="C745" s="382"/>
    </row>
    <row r="746">
      <c r="C746" s="382"/>
    </row>
    <row r="747">
      <c r="C747" s="382"/>
    </row>
    <row r="748">
      <c r="C748" s="382"/>
    </row>
    <row r="749">
      <c r="C749" s="382"/>
    </row>
    <row r="750">
      <c r="C750" s="382"/>
    </row>
    <row r="751">
      <c r="C751" s="382"/>
    </row>
    <row r="752">
      <c r="C752" s="382"/>
    </row>
    <row r="753">
      <c r="C753" s="382"/>
    </row>
    <row r="754">
      <c r="C754" s="382"/>
    </row>
    <row r="755">
      <c r="C755" s="382"/>
    </row>
    <row r="756">
      <c r="C756" s="382"/>
    </row>
    <row r="757">
      <c r="C757" s="382"/>
    </row>
    <row r="758">
      <c r="C758" s="382"/>
    </row>
    <row r="759">
      <c r="C759" s="382"/>
    </row>
    <row r="760">
      <c r="C760" s="382"/>
    </row>
    <row r="761">
      <c r="C761" s="382"/>
    </row>
    <row r="762">
      <c r="C762" s="382"/>
    </row>
    <row r="763">
      <c r="C763" s="382"/>
    </row>
    <row r="764">
      <c r="C764" s="382"/>
    </row>
    <row r="765">
      <c r="C765" s="382"/>
    </row>
    <row r="766">
      <c r="C766" s="382"/>
    </row>
    <row r="767">
      <c r="C767" s="382"/>
    </row>
    <row r="768">
      <c r="C768" s="382"/>
    </row>
    <row r="769">
      <c r="C769" s="382"/>
    </row>
    <row r="770">
      <c r="C770" s="382"/>
    </row>
    <row r="771">
      <c r="C771" s="382"/>
    </row>
    <row r="772">
      <c r="C772" s="382"/>
    </row>
    <row r="773">
      <c r="C773" s="382"/>
    </row>
    <row r="774">
      <c r="C774" s="382"/>
    </row>
    <row r="775">
      <c r="C775" s="382"/>
    </row>
    <row r="776">
      <c r="C776" s="382"/>
    </row>
    <row r="777">
      <c r="C777" s="382"/>
    </row>
    <row r="778">
      <c r="C778" s="382"/>
    </row>
    <row r="779">
      <c r="C779" s="382"/>
    </row>
    <row r="780">
      <c r="C780" s="382"/>
    </row>
    <row r="781">
      <c r="C781" s="382"/>
    </row>
    <row r="782">
      <c r="C782" s="382"/>
    </row>
    <row r="783">
      <c r="C783" s="382"/>
    </row>
    <row r="784">
      <c r="C784" s="382"/>
    </row>
    <row r="785">
      <c r="C785" s="382"/>
    </row>
    <row r="786">
      <c r="C786" s="382"/>
    </row>
    <row r="787">
      <c r="C787" s="382"/>
    </row>
    <row r="788">
      <c r="C788" s="382"/>
    </row>
    <row r="789">
      <c r="C789" s="382"/>
    </row>
    <row r="790">
      <c r="C790" s="382"/>
    </row>
    <row r="791">
      <c r="C791" s="382"/>
    </row>
    <row r="792">
      <c r="C792" s="382"/>
    </row>
    <row r="793">
      <c r="C793" s="382"/>
    </row>
    <row r="794">
      <c r="C794" s="382"/>
    </row>
    <row r="795">
      <c r="C795" s="382"/>
    </row>
    <row r="796">
      <c r="C796" s="382"/>
    </row>
    <row r="797">
      <c r="C797" s="382"/>
    </row>
    <row r="798">
      <c r="C798" s="382"/>
    </row>
    <row r="799">
      <c r="C799" s="382"/>
    </row>
    <row r="800">
      <c r="C800" s="382"/>
    </row>
    <row r="801">
      <c r="C801" s="382"/>
    </row>
    <row r="802">
      <c r="C802" s="382"/>
    </row>
    <row r="803">
      <c r="C803" s="382"/>
    </row>
    <row r="804">
      <c r="C804" s="382"/>
    </row>
    <row r="805">
      <c r="C805" s="382"/>
    </row>
    <row r="806">
      <c r="C806" s="382"/>
    </row>
    <row r="807">
      <c r="C807" s="382"/>
    </row>
    <row r="808">
      <c r="C808" s="382"/>
    </row>
    <row r="809">
      <c r="C809" s="382"/>
    </row>
    <row r="810">
      <c r="C810" s="382"/>
    </row>
    <row r="811">
      <c r="C811" s="382"/>
    </row>
    <row r="812">
      <c r="C812" s="382"/>
    </row>
    <row r="813">
      <c r="C813" s="382"/>
    </row>
    <row r="814">
      <c r="C814" s="382"/>
    </row>
    <row r="815">
      <c r="C815" s="382"/>
    </row>
    <row r="816">
      <c r="C816" s="382"/>
    </row>
    <row r="817">
      <c r="C817" s="382"/>
    </row>
    <row r="818">
      <c r="C818" s="382"/>
    </row>
    <row r="819">
      <c r="C819" s="382"/>
    </row>
    <row r="820">
      <c r="C820" s="382"/>
    </row>
    <row r="821">
      <c r="C821" s="382"/>
    </row>
    <row r="822">
      <c r="C822" s="382"/>
    </row>
    <row r="823">
      <c r="C823" s="382"/>
    </row>
    <row r="824">
      <c r="C824" s="382"/>
    </row>
    <row r="825">
      <c r="C825" s="382"/>
    </row>
    <row r="826">
      <c r="C826" s="382"/>
    </row>
    <row r="827">
      <c r="C827" s="382"/>
    </row>
    <row r="828">
      <c r="C828" s="382"/>
    </row>
    <row r="829">
      <c r="C829" s="382"/>
    </row>
    <row r="830">
      <c r="C830" s="382"/>
    </row>
    <row r="831">
      <c r="C831" s="382"/>
    </row>
    <row r="832">
      <c r="C832" s="382"/>
    </row>
    <row r="833">
      <c r="C833" s="382"/>
    </row>
    <row r="834">
      <c r="C834" s="382"/>
    </row>
    <row r="835">
      <c r="C835" s="382"/>
    </row>
    <row r="836">
      <c r="C836" s="382"/>
    </row>
    <row r="837">
      <c r="C837" s="382"/>
    </row>
    <row r="838">
      <c r="C838" s="382"/>
    </row>
    <row r="839">
      <c r="C839" s="382"/>
    </row>
    <row r="840">
      <c r="C840" s="382"/>
    </row>
    <row r="841">
      <c r="C841" s="382"/>
    </row>
    <row r="842">
      <c r="C842" s="382"/>
    </row>
    <row r="843">
      <c r="C843" s="382"/>
    </row>
    <row r="844">
      <c r="C844" s="382"/>
    </row>
    <row r="845">
      <c r="C845" s="382"/>
    </row>
    <row r="846">
      <c r="C846" s="382"/>
    </row>
    <row r="847">
      <c r="C847" s="382"/>
    </row>
    <row r="848">
      <c r="C848" s="382"/>
    </row>
    <row r="849">
      <c r="C849" s="382"/>
    </row>
    <row r="850">
      <c r="C850" s="382"/>
    </row>
    <row r="851">
      <c r="C851" s="382"/>
    </row>
    <row r="852">
      <c r="C852" s="382"/>
    </row>
    <row r="853">
      <c r="C853" s="382"/>
    </row>
    <row r="854">
      <c r="C854" s="382"/>
    </row>
    <row r="855">
      <c r="C855" s="382"/>
    </row>
    <row r="856">
      <c r="C856" s="382"/>
    </row>
    <row r="857">
      <c r="C857" s="382"/>
    </row>
    <row r="858">
      <c r="C858" s="382"/>
    </row>
    <row r="859">
      <c r="C859" s="382"/>
    </row>
    <row r="860">
      <c r="C860" s="382"/>
    </row>
    <row r="861">
      <c r="C861" s="382"/>
    </row>
    <row r="862">
      <c r="C862" s="382"/>
    </row>
    <row r="863">
      <c r="C863" s="382"/>
    </row>
    <row r="864">
      <c r="C864" s="382"/>
    </row>
    <row r="865">
      <c r="C865" s="382"/>
    </row>
    <row r="866">
      <c r="C866" s="382"/>
    </row>
    <row r="867">
      <c r="C867" s="382"/>
    </row>
    <row r="868">
      <c r="C868" s="382"/>
    </row>
    <row r="869">
      <c r="C869" s="382"/>
    </row>
    <row r="870">
      <c r="C870" s="382"/>
    </row>
    <row r="871">
      <c r="C871" s="382"/>
    </row>
    <row r="872">
      <c r="C872" s="382"/>
    </row>
    <row r="873">
      <c r="C873" s="382"/>
    </row>
    <row r="874">
      <c r="C874" s="382"/>
    </row>
    <row r="875">
      <c r="C875" s="382"/>
    </row>
    <row r="876">
      <c r="C876" s="382"/>
    </row>
    <row r="877">
      <c r="C877" s="382"/>
    </row>
    <row r="878">
      <c r="C878" s="382"/>
    </row>
    <row r="879">
      <c r="C879" s="382"/>
    </row>
    <row r="880">
      <c r="C880" s="382"/>
    </row>
    <row r="881">
      <c r="C881" s="382"/>
    </row>
    <row r="882">
      <c r="C882" s="382"/>
    </row>
    <row r="883">
      <c r="C883" s="382"/>
    </row>
    <row r="884">
      <c r="C884" s="382"/>
    </row>
    <row r="885">
      <c r="C885" s="382"/>
    </row>
    <row r="886">
      <c r="C886" s="382"/>
    </row>
    <row r="887">
      <c r="C887" s="382"/>
    </row>
    <row r="888">
      <c r="C888" s="382"/>
    </row>
    <row r="889">
      <c r="C889" s="382"/>
    </row>
    <row r="890">
      <c r="C890" s="382"/>
    </row>
    <row r="891">
      <c r="C891" s="382"/>
    </row>
    <row r="892">
      <c r="C892" s="382"/>
    </row>
    <row r="893">
      <c r="C893" s="382"/>
    </row>
    <row r="894">
      <c r="C894" s="382"/>
    </row>
    <row r="895">
      <c r="C895" s="382"/>
    </row>
    <row r="896">
      <c r="C896" s="382"/>
    </row>
    <row r="897">
      <c r="C897" s="382"/>
    </row>
    <row r="898">
      <c r="C898" s="382"/>
    </row>
    <row r="899">
      <c r="C899" s="382"/>
    </row>
    <row r="900">
      <c r="C900" s="382"/>
    </row>
    <row r="901">
      <c r="C901" s="382"/>
    </row>
    <row r="902">
      <c r="C902" s="382"/>
    </row>
    <row r="903">
      <c r="C903" s="382"/>
    </row>
    <row r="904">
      <c r="C904" s="382"/>
    </row>
    <row r="905">
      <c r="C905" s="382"/>
    </row>
    <row r="906">
      <c r="C906" s="382"/>
    </row>
    <row r="907">
      <c r="C907" s="382"/>
    </row>
    <row r="908">
      <c r="C908" s="382"/>
    </row>
    <row r="909">
      <c r="C909" s="382"/>
    </row>
    <row r="910">
      <c r="C910" s="382"/>
    </row>
    <row r="911">
      <c r="C911" s="382"/>
    </row>
    <row r="912">
      <c r="C912" s="382"/>
    </row>
    <row r="913">
      <c r="C913" s="382"/>
    </row>
    <row r="914">
      <c r="C914" s="382"/>
    </row>
    <row r="915">
      <c r="C915" s="382"/>
    </row>
    <row r="916">
      <c r="C916" s="382"/>
    </row>
    <row r="917">
      <c r="C917" s="382"/>
    </row>
    <row r="918">
      <c r="C918" s="382"/>
    </row>
    <row r="919">
      <c r="C919" s="382"/>
    </row>
    <row r="920">
      <c r="C920" s="382"/>
    </row>
    <row r="921">
      <c r="C921" s="382"/>
    </row>
    <row r="922">
      <c r="C922" s="382"/>
    </row>
    <row r="923">
      <c r="C923" s="382"/>
    </row>
    <row r="924">
      <c r="C924" s="382"/>
    </row>
    <row r="925">
      <c r="C925" s="382"/>
    </row>
    <row r="926">
      <c r="C926" s="382"/>
    </row>
    <row r="927">
      <c r="C927" s="382"/>
    </row>
    <row r="928">
      <c r="C928" s="382"/>
    </row>
    <row r="929">
      <c r="C929" s="382"/>
    </row>
    <row r="930">
      <c r="C930" s="382"/>
    </row>
    <row r="931">
      <c r="C931" s="382"/>
    </row>
    <row r="932">
      <c r="C932" s="382"/>
    </row>
    <row r="933">
      <c r="C933" s="382"/>
    </row>
    <row r="934">
      <c r="C934" s="382"/>
    </row>
    <row r="935">
      <c r="C935" s="382"/>
    </row>
    <row r="936">
      <c r="C936" s="382"/>
    </row>
    <row r="937">
      <c r="C937" s="382"/>
    </row>
    <row r="938">
      <c r="C938" s="382"/>
    </row>
    <row r="939">
      <c r="C939" s="382"/>
    </row>
    <row r="940">
      <c r="C940" s="382"/>
    </row>
    <row r="941">
      <c r="C941" s="382"/>
    </row>
    <row r="942">
      <c r="C942" s="382"/>
    </row>
    <row r="943">
      <c r="C943" s="382"/>
    </row>
    <row r="944">
      <c r="C944" s="382"/>
    </row>
    <row r="945">
      <c r="C945" s="382"/>
    </row>
    <row r="946">
      <c r="C946" s="382"/>
    </row>
    <row r="947">
      <c r="C947" s="382"/>
    </row>
    <row r="948">
      <c r="C948" s="382"/>
    </row>
    <row r="949">
      <c r="C949" s="382"/>
    </row>
    <row r="950">
      <c r="C950" s="382"/>
    </row>
    <row r="951">
      <c r="C951" s="382"/>
    </row>
    <row r="952">
      <c r="C952" s="382"/>
    </row>
    <row r="953">
      <c r="C953" s="382"/>
    </row>
    <row r="954">
      <c r="C954" s="382"/>
    </row>
    <row r="955">
      <c r="C955" s="382"/>
    </row>
    <row r="956">
      <c r="C956" s="382"/>
    </row>
    <row r="957">
      <c r="C957" s="382"/>
    </row>
    <row r="958">
      <c r="C958" s="382"/>
    </row>
    <row r="959">
      <c r="C959" s="382"/>
    </row>
    <row r="960">
      <c r="C960" s="382"/>
    </row>
    <row r="961">
      <c r="C961" s="382"/>
    </row>
    <row r="962">
      <c r="C962" s="382"/>
    </row>
    <row r="963">
      <c r="C963" s="382"/>
    </row>
    <row r="964">
      <c r="C964" s="382"/>
    </row>
    <row r="965">
      <c r="C965" s="382"/>
    </row>
    <row r="966">
      <c r="C966" s="382"/>
    </row>
    <row r="967">
      <c r="C967" s="382"/>
    </row>
    <row r="968">
      <c r="C968" s="382"/>
    </row>
    <row r="969">
      <c r="C969" s="382"/>
    </row>
    <row r="970">
      <c r="C970" s="382"/>
    </row>
    <row r="971">
      <c r="C971" s="382"/>
    </row>
    <row r="972">
      <c r="C972" s="382"/>
    </row>
    <row r="973">
      <c r="C973" s="382"/>
    </row>
    <row r="974">
      <c r="C974" s="382"/>
    </row>
    <row r="975">
      <c r="C975" s="382"/>
    </row>
    <row r="976">
      <c r="C976" s="382"/>
    </row>
    <row r="977">
      <c r="C977" s="382"/>
    </row>
    <row r="978">
      <c r="C978" s="382"/>
    </row>
    <row r="979">
      <c r="C979" s="382"/>
    </row>
    <row r="980">
      <c r="C980" s="382"/>
    </row>
    <row r="981">
      <c r="C981" s="382"/>
    </row>
    <row r="982">
      <c r="C982" s="382"/>
    </row>
    <row r="983">
      <c r="C983" s="382"/>
    </row>
    <row r="984">
      <c r="C984" s="382"/>
    </row>
    <row r="985">
      <c r="C985" s="382"/>
    </row>
    <row r="986">
      <c r="C986" s="382"/>
    </row>
    <row r="987">
      <c r="C987" s="382"/>
    </row>
    <row r="988">
      <c r="C988" s="382"/>
    </row>
    <row r="989">
      <c r="C989" s="382"/>
    </row>
    <row r="990">
      <c r="C990" s="382"/>
    </row>
    <row r="991">
      <c r="C991" s="382"/>
    </row>
    <row r="992">
      <c r="C992" s="382"/>
    </row>
    <row r="993">
      <c r="C993" s="382"/>
    </row>
    <row r="994">
      <c r="C994" s="382"/>
    </row>
    <row r="995">
      <c r="C995" s="382"/>
    </row>
    <row r="996">
      <c r="C996" s="382"/>
    </row>
    <row r="997">
      <c r="C997" s="382"/>
    </row>
    <row r="998">
      <c r="C998" s="382"/>
    </row>
    <row r="999">
      <c r="C999" s="382"/>
    </row>
    <row r="1000">
      <c r="C1000" s="382"/>
    </row>
    <row r="1001">
      <c r="C1001" s="382"/>
    </row>
    <row r="1002">
      <c r="C1002" s="382"/>
    </row>
  </sheetData>
  <mergeCells count="2">
    <mergeCell ref="A2:A9"/>
    <mergeCell ref="A10:A17"/>
  </mergeCells>
  <conditionalFormatting sqref="E1:E1002">
    <cfRule type="cellIs" dxfId="5" priority="1" operator="greaterThan">
      <formula>0</formula>
    </cfRule>
  </conditionalFormatting>
  <conditionalFormatting sqref="E1:E1002">
    <cfRule type="cellIs" dxfId="6" priority="2" operator="lessThan">
      <formula>0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2" max="2" width="79.63"/>
  </cols>
  <sheetData>
    <row r="1">
      <c r="A1" s="312" t="s">
        <v>575</v>
      </c>
      <c r="B1" s="312" t="s">
        <v>456</v>
      </c>
    </row>
    <row r="2">
      <c r="A2" s="383" t="s">
        <v>576</v>
      </c>
      <c r="B2" s="204" t="s">
        <v>577</v>
      </c>
    </row>
    <row r="3">
      <c r="A3" s="4" t="s">
        <v>578</v>
      </c>
      <c r="B3" s="4" t="s">
        <v>579</v>
      </c>
    </row>
    <row r="4">
      <c r="A4" s="4" t="s">
        <v>580</v>
      </c>
      <c r="B4" s="4" t="s">
        <v>581</v>
      </c>
    </row>
    <row r="5">
      <c r="A5" s="4" t="s">
        <v>582</v>
      </c>
      <c r="B5" s="4" t="s">
        <v>583</v>
      </c>
    </row>
    <row r="6">
      <c r="A6" s="4" t="s">
        <v>584</v>
      </c>
      <c r="B6" s="4" t="s">
        <v>585</v>
      </c>
    </row>
    <row r="7">
      <c r="A7" s="4" t="s">
        <v>586</v>
      </c>
      <c r="B7" s="4" t="s">
        <v>587</v>
      </c>
    </row>
    <row r="8">
      <c r="A8" s="4" t="s">
        <v>588</v>
      </c>
      <c r="B8" s="209" t="s">
        <v>589</v>
      </c>
    </row>
    <row r="9">
      <c r="A9" s="4" t="s">
        <v>590</v>
      </c>
      <c r="B9" s="4" t="s">
        <v>591</v>
      </c>
    </row>
  </sheetData>
  <hyperlinks>
    <hyperlink r:id="rId1" ref="B8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2.63" defaultRowHeight="15.75"/>
  <cols>
    <col customWidth="1" min="1" max="1" width="76.75"/>
  </cols>
  <sheetData>
    <row r="1">
      <c r="A1" s="252" t="s">
        <v>592</v>
      </c>
    </row>
    <row r="2">
      <c r="A2" s="384" t="s">
        <v>593</v>
      </c>
    </row>
    <row r="3">
      <c r="A3" s="384" t="s">
        <v>594</v>
      </c>
    </row>
    <row r="4">
      <c r="A4" s="384" t="s">
        <v>595</v>
      </c>
    </row>
    <row r="5">
      <c r="A5" s="4" t="s">
        <v>596</v>
      </c>
    </row>
  </sheetData>
  <hyperlinks>
    <hyperlink r:id="rId1" ref="A2"/>
    <hyperlink r:id="rId2" ref="A3"/>
    <hyperlink r:id="rId3" location="heading=h.ujgt4b73ll96" ref="A4"/>
  </hyperlinks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4.13"/>
    <col customWidth="1" min="6" max="6" width="14.38"/>
    <col customWidth="1" min="7" max="7" width="19.5"/>
    <col customWidth="1" min="18" max="18" width="14.38"/>
    <col customWidth="1" min="29" max="29" width="13.63"/>
  </cols>
  <sheetData>
    <row r="1">
      <c r="A1" s="348"/>
      <c r="B1" s="348"/>
      <c r="C1" s="350" t="s">
        <v>597</v>
      </c>
      <c r="D1" s="350" t="s">
        <v>598</v>
      </c>
      <c r="E1" s="350" t="s">
        <v>599</v>
      </c>
      <c r="F1" s="385" t="s">
        <v>600</v>
      </c>
      <c r="G1" s="350" t="s">
        <v>601</v>
      </c>
      <c r="H1" s="350" t="s">
        <v>602</v>
      </c>
      <c r="I1" s="386" t="s">
        <v>603</v>
      </c>
      <c r="J1" s="386" t="s">
        <v>604</v>
      </c>
      <c r="K1" s="386" t="s">
        <v>605</v>
      </c>
      <c r="L1" s="350" t="s">
        <v>606</v>
      </c>
      <c r="M1" s="350" t="s">
        <v>607</v>
      </c>
      <c r="N1" s="386" t="s">
        <v>608</v>
      </c>
      <c r="O1" s="386" t="s">
        <v>609</v>
      </c>
      <c r="P1" s="386" t="s">
        <v>610</v>
      </c>
      <c r="Q1" s="350" t="s">
        <v>611</v>
      </c>
      <c r="R1" s="350" t="s">
        <v>612</v>
      </c>
      <c r="S1" s="386" t="s">
        <v>613</v>
      </c>
      <c r="T1" s="386" t="s">
        <v>614</v>
      </c>
      <c r="U1" s="386" t="s">
        <v>615</v>
      </c>
      <c r="V1" s="350" t="s">
        <v>616</v>
      </c>
      <c r="W1" s="386" t="s">
        <v>617</v>
      </c>
      <c r="X1" s="386" t="s">
        <v>618</v>
      </c>
      <c r="Y1" s="386" t="s">
        <v>619</v>
      </c>
      <c r="Z1" s="386" t="s">
        <v>599</v>
      </c>
      <c r="AA1" s="386" t="s">
        <v>620</v>
      </c>
      <c r="AB1" s="386" t="s">
        <v>621</v>
      </c>
      <c r="AC1" s="386" t="s">
        <v>622</v>
      </c>
      <c r="AD1" s="386" t="s">
        <v>623</v>
      </c>
      <c r="AE1" s="386" t="s">
        <v>624</v>
      </c>
      <c r="AF1" s="386" t="s">
        <v>625</v>
      </c>
      <c r="AG1" s="386" t="s">
        <v>605</v>
      </c>
    </row>
    <row r="2">
      <c r="A2" s="351" t="s">
        <v>563</v>
      </c>
      <c r="B2" s="352" t="s">
        <v>564</v>
      </c>
      <c r="C2" s="353">
        <v>1731.0</v>
      </c>
      <c r="D2" s="354">
        <v>1754.0</v>
      </c>
      <c r="E2" s="354">
        <v>1754.0</v>
      </c>
      <c r="F2" s="387">
        <f>E2</f>
        <v>1754</v>
      </c>
      <c r="G2" s="355">
        <f t="shared" ref="G2:G14" si="1">(D2-C2)/C2</f>
        <v>0.01328711727</v>
      </c>
      <c r="H2" s="354">
        <v>1787.0</v>
      </c>
      <c r="I2" s="354">
        <v>1770.0</v>
      </c>
      <c r="J2" s="354">
        <v>1792.0</v>
      </c>
      <c r="K2" s="354">
        <v>1792.0</v>
      </c>
      <c r="L2" s="355">
        <f t="shared" ref="L2:L7" si="2">(K2-E2)/E2</f>
        <v>0.02166476625</v>
      </c>
      <c r="M2" s="354">
        <v>1821.0</v>
      </c>
      <c r="N2" s="354">
        <v>1894.0</v>
      </c>
      <c r="O2" s="354">
        <v>1903.0</v>
      </c>
      <c r="P2" s="354">
        <v>1903.0</v>
      </c>
      <c r="Q2" s="355">
        <f t="shared" ref="Q2:Q7" si="3">(P2-K2)/K2</f>
        <v>0.06194196429</v>
      </c>
      <c r="R2" s="354">
        <v>1930.0</v>
      </c>
      <c r="S2" s="354">
        <v>2000.0</v>
      </c>
      <c r="T2" s="354">
        <v>2045.0</v>
      </c>
      <c r="U2" s="354">
        <v>2045.0</v>
      </c>
      <c r="V2" s="355">
        <f t="shared" ref="V2:V15" si="4">(U2-P2)/P2</f>
        <v>0.0746190226</v>
      </c>
      <c r="W2" s="354">
        <v>2103.0</v>
      </c>
      <c r="X2" s="354">
        <v>2196.0</v>
      </c>
      <c r="Y2" s="354">
        <v>2200.0</v>
      </c>
      <c r="Z2" s="354">
        <v>2200.0</v>
      </c>
      <c r="AA2" s="388">
        <v>2200.0</v>
      </c>
      <c r="AB2" s="389">
        <f t="shared" ref="AB2:AB7" si="5">((Z2-U2)/U2)</f>
        <v>0.07579462103</v>
      </c>
      <c r="AC2" s="389">
        <f t="shared" ref="AC2:AC7" si="6">((Z2-K2) / K2)</f>
        <v>0.2276785714</v>
      </c>
      <c r="AD2" s="354">
        <v>2214.0</v>
      </c>
      <c r="AE2" s="354">
        <v>2255.0</v>
      </c>
      <c r="AF2" s="354">
        <v>2310.0</v>
      </c>
      <c r="AG2" s="354">
        <v>2310.0</v>
      </c>
    </row>
    <row r="3">
      <c r="A3" s="356"/>
      <c r="B3" s="357" t="s">
        <v>567</v>
      </c>
      <c r="C3" s="358">
        <v>3654.0</v>
      </c>
      <c r="D3" s="362">
        <v>8791.0</v>
      </c>
      <c r="E3" s="354">
        <f t="shared" ref="E3:E9" si="7">SUM(C3:D3)</f>
        <v>12445</v>
      </c>
      <c r="F3" s="390"/>
      <c r="G3" s="355">
        <f t="shared" si="1"/>
        <v>1.405856596</v>
      </c>
      <c r="H3" s="362">
        <v>116627.0</v>
      </c>
      <c r="I3" s="362">
        <v>90160.0</v>
      </c>
      <c r="J3" s="358">
        <v>10045.0</v>
      </c>
      <c r="K3" s="354">
        <f t="shared" ref="K3:K7" si="8">SUM(H3:J3)</f>
        <v>216832</v>
      </c>
      <c r="L3" s="355">
        <f t="shared" si="2"/>
        <v>16.42322218</v>
      </c>
      <c r="M3" s="362">
        <v>24682.0</v>
      </c>
      <c r="N3" s="362">
        <v>99629.0</v>
      </c>
      <c r="O3" s="358">
        <v>77920.0</v>
      </c>
      <c r="P3" s="354">
        <f>SUM(M3:O3)</f>
        <v>202231</v>
      </c>
      <c r="Q3" s="355">
        <f t="shared" si="3"/>
        <v>-0.06733784681</v>
      </c>
      <c r="R3" s="362">
        <v>102045.0</v>
      </c>
      <c r="S3" s="362">
        <v>118966.0</v>
      </c>
      <c r="T3" s="358">
        <v>181325.0</v>
      </c>
      <c r="U3" s="354">
        <f t="shared" ref="U3:U7" si="9">SUM(R3:T3)</f>
        <v>402336</v>
      </c>
      <c r="V3" s="355">
        <f t="shared" si="4"/>
        <v>0.9894872695</v>
      </c>
      <c r="W3" s="354">
        <v>237391.0</v>
      </c>
      <c r="X3" s="354">
        <v>238399.0</v>
      </c>
      <c r="Y3" s="354">
        <v>15052.0</v>
      </c>
      <c r="Z3" s="354">
        <f t="shared" ref="Z3:Z7" si="10">SUM(W3:Y3)</f>
        <v>490842</v>
      </c>
      <c r="AA3" s="354">
        <f t="shared" ref="AA3:AA7" si="11">Z3+U3+P3+K3</f>
        <v>1312241</v>
      </c>
      <c r="AB3" s="389">
        <f t="shared" si="5"/>
        <v>0.219980315</v>
      </c>
      <c r="AC3" s="389">
        <f t="shared" si="6"/>
        <v>1.26369724</v>
      </c>
      <c r="AD3" s="354">
        <v>9578.0</v>
      </c>
      <c r="AE3" s="354">
        <v>5706.0</v>
      </c>
      <c r="AF3" s="354">
        <v>13143.0</v>
      </c>
      <c r="AG3" s="354">
        <f t="shared" ref="AG3:AG7" si="12">SUM(AD3:AF3)</f>
        <v>28427</v>
      </c>
    </row>
    <row r="4">
      <c r="A4" s="356"/>
      <c r="B4" s="357" t="s">
        <v>565</v>
      </c>
      <c r="C4" s="358">
        <v>1258.0</v>
      </c>
      <c r="D4" s="358">
        <v>2158.0</v>
      </c>
      <c r="E4" s="354">
        <f t="shared" si="7"/>
        <v>3416</v>
      </c>
      <c r="F4" s="390"/>
      <c r="G4" s="355">
        <f t="shared" si="1"/>
        <v>0.7154213037</v>
      </c>
      <c r="H4" s="358">
        <v>49026.0</v>
      </c>
      <c r="I4" s="358">
        <v>80041.0</v>
      </c>
      <c r="J4" s="358">
        <v>3072.0</v>
      </c>
      <c r="K4" s="354">
        <f t="shared" si="8"/>
        <v>132139</v>
      </c>
      <c r="L4" s="355">
        <f t="shared" si="2"/>
        <v>37.68237705</v>
      </c>
      <c r="M4" s="358">
        <v>2772.0</v>
      </c>
      <c r="N4" s="358">
        <v>52956.0</v>
      </c>
      <c r="O4" s="358">
        <v>47823.0</v>
      </c>
      <c r="P4" s="354">
        <f>SUM(M4,N4,O4)</f>
        <v>103551</v>
      </c>
      <c r="Q4" s="355">
        <f t="shared" si="3"/>
        <v>-0.2163479366</v>
      </c>
      <c r="R4" s="358">
        <v>52243.0</v>
      </c>
      <c r="S4" s="358">
        <v>63397.0</v>
      </c>
      <c r="T4" s="358">
        <v>95676.0</v>
      </c>
      <c r="U4" s="354">
        <f t="shared" si="9"/>
        <v>211316</v>
      </c>
      <c r="V4" s="355">
        <f t="shared" si="4"/>
        <v>1.040694923</v>
      </c>
      <c r="W4" s="354">
        <v>120884.0</v>
      </c>
      <c r="X4" s="354">
        <v>162299.0</v>
      </c>
      <c r="Y4" s="354">
        <v>7603.0</v>
      </c>
      <c r="Z4" s="354">
        <f t="shared" si="10"/>
        <v>290786</v>
      </c>
      <c r="AA4" s="354">
        <f t="shared" si="11"/>
        <v>737792</v>
      </c>
      <c r="AB4" s="389">
        <f t="shared" si="5"/>
        <v>0.3760718545</v>
      </c>
      <c r="AC4" s="389">
        <f t="shared" si="6"/>
        <v>1.200606937</v>
      </c>
      <c r="AD4" s="354">
        <v>223.0</v>
      </c>
      <c r="AE4" s="354">
        <v>1541.0</v>
      </c>
      <c r="AF4" s="354">
        <v>4684.0</v>
      </c>
      <c r="AG4" s="354">
        <f t="shared" si="12"/>
        <v>6448</v>
      </c>
    </row>
    <row r="5">
      <c r="A5" s="356"/>
      <c r="B5" s="391" t="s">
        <v>566</v>
      </c>
      <c r="C5" s="360">
        <v>127.0</v>
      </c>
      <c r="D5" s="361">
        <v>149.0</v>
      </c>
      <c r="E5" s="392">
        <f t="shared" si="7"/>
        <v>276</v>
      </c>
      <c r="F5" s="390"/>
      <c r="G5" s="355">
        <f t="shared" si="1"/>
        <v>0.1732283465</v>
      </c>
      <c r="H5" s="361">
        <v>241.0</v>
      </c>
      <c r="I5" s="361">
        <v>157.0</v>
      </c>
      <c r="J5" s="360">
        <v>291.0</v>
      </c>
      <c r="K5" s="392">
        <f t="shared" si="8"/>
        <v>689</v>
      </c>
      <c r="L5" s="355">
        <f t="shared" si="2"/>
        <v>1.496376812</v>
      </c>
      <c r="M5" s="361">
        <v>542.0</v>
      </c>
      <c r="N5" s="361">
        <v>264.0</v>
      </c>
      <c r="O5" s="360">
        <v>110.0</v>
      </c>
      <c r="P5" s="392">
        <f t="shared" ref="P5:P7" si="13">SUM(M5:O5)</f>
        <v>916</v>
      </c>
      <c r="Q5" s="355">
        <f t="shared" si="3"/>
        <v>0.3294629898</v>
      </c>
      <c r="R5" s="361">
        <v>182.0</v>
      </c>
      <c r="S5" s="361">
        <v>262.0</v>
      </c>
      <c r="T5" s="360">
        <v>353.0</v>
      </c>
      <c r="U5" s="354">
        <f t="shared" si="9"/>
        <v>797</v>
      </c>
      <c r="V5" s="355">
        <f t="shared" si="4"/>
        <v>-0.1299126638</v>
      </c>
      <c r="W5" s="392">
        <v>1025.0</v>
      </c>
      <c r="X5" s="392">
        <v>110.0</v>
      </c>
      <c r="Y5" s="392">
        <v>29.0</v>
      </c>
      <c r="Z5" s="392">
        <f t="shared" si="10"/>
        <v>1164</v>
      </c>
      <c r="AA5" s="354">
        <f t="shared" si="11"/>
        <v>3566</v>
      </c>
      <c r="AB5" s="393">
        <f t="shared" si="5"/>
        <v>0.460476788</v>
      </c>
      <c r="AC5" s="393">
        <f t="shared" si="6"/>
        <v>0.6894049347</v>
      </c>
      <c r="AD5" s="392">
        <v>29.0</v>
      </c>
      <c r="AE5" s="392">
        <v>255.0</v>
      </c>
      <c r="AF5" s="392">
        <v>663.0</v>
      </c>
      <c r="AG5" s="392">
        <f t="shared" si="12"/>
        <v>947</v>
      </c>
    </row>
    <row r="6">
      <c r="A6" s="356"/>
      <c r="B6" s="391" t="s">
        <v>568</v>
      </c>
      <c r="C6" s="364">
        <v>138.0</v>
      </c>
      <c r="D6" s="365">
        <v>212.0</v>
      </c>
      <c r="E6" s="392">
        <f t="shared" si="7"/>
        <v>350</v>
      </c>
      <c r="F6" s="390"/>
      <c r="G6" s="355">
        <f t="shared" si="1"/>
        <v>0.5362318841</v>
      </c>
      <c r="H6" s="365">
        <v>237.0</v>
      </c>
      <c r="I6" s="365">
        <v>148.0</v>
      </c>
      <c r="J6" s="364">
        <v>208.0</v>
      </c>
      <c r="K6" s="392">
        <f t="shared" si="8"/>
        <v>593</v>
      </c>
      <c r="L6" s="355">
        <f t="shared" si="2"/>
        <v>0.6942857143</v>
      </c>
      <c r="M6" s="365">
        <v>221.0</v>
      </c>
      <c r="N6" s="365">
        <v>330.0</v>
      </c>
      <c r="O6" s="364">
        <v>168.0</v>
      </c>
      <c r="P6" s="392">
        <f t="shared" si="13"/>
        <v>719</v>
      </c>
      <c r="Q6" s="355">
        <f t="shared" si="3"/>
        <v>0.2124789207</v>
      </c>
      <c r="R6" s="365">
        <v>210.0</v>
      </c>
      <c r="S6" s="365">
        <v>830.0</v>
      </c>
      <c r="T6" s="364">
        <v>765.0</v>
      </c>
      <c r="U6" s="354">
        <f t="shared" si="9"/>
        <v>1805</v>
      </c>
      <c r="V6" s="355">
        <f t="shared" si="4"/>
        <v>1.510431154</v>
      </c>
      <c r="W6" s="394">
        <v>999.0</v>
      </c>
      <c r="X6" s="394">
        <v>241.0</v>
      </c>
      <c r="Y6" s="394">
        <v>46.0</v>
      </c>
      <c r="Z6" s="392">
        <f t="shared" si="10"/>
        <v>1286</v>
      </c>
      <c r="AA6" s="354">
        <f t="shared" si="11"/>
        <v>4403</v>
      </c>
      <c r="AB6" s="393">
        <f t="shared" si="5"/>
        <v>-0.287534626</v>
      </c>
      <c r="AC6" s="393">
        <f t="shared" si="6"/>
        <v>1.168634064</v>
      </c>
      <c r="AD6" s="394">
        <v>268.0</v>
      </c>
      <c r="AE6" s="394">
        <v>175.0</v>
      </c>
      <c r="AF6" s="394">
        <v>299.0</v>
      </c>
      <c r="AG6" s="392">
        <f t="shared" si="12"/>
        <v>742</v>
      </c>
    </row>
    <row r="7">
      <c r="A7" s="356"/>
      <c r="B7" s="363" t="s">
        <v>569</v>
      </c>
      <c r="C7" s="364">
        <v>11.0</v>
      </c>
      <c r="D7" s="366">
        <v>26.0</v>
      </c>
      <c r="E7" s="392">
        <f t="shared" si="7"/>
        <v>37</v>
      </c>
      <c r="F7" s="390"/>
      <c r="G7" s="355">
        <f t="shared" si="1"/>
        <v>1.363636364</v>
      </c>
      <c r="H7" s="366">
        <v>104.0</v>
      </c>
      <c r="I7" s="366">
        <v>10.0</v>
      </c>
      <c r="J7" s="364">
        <v>39.0</v>
      </c>
      <c r="K7" s="392">
        <f t="shared" si="8"/>
        <v>153</v>
      </c>
      <c r="L7" s="355">
        <f t="shared" si="2"/>
        <v>3.135135135</v>
      </c>
      <c r="M7" s="366">
        <v>4.0</v>
      </c>
      <c r="N7" s="366">
        <v>27.0</v>
      </c>
      <c r="O7" s="364">
        <v>32.0</v>
      </c>
      <c r="P7" s="392">
        <f t="shared" si="13"/>
        <v>63</v>
      </c>
      <c r="Q7" s="355">
        <f t="shared" si="3"/>
        <v>-0.5882352941</v>
      </c>
      <c r="R7" s="366">
        <v>69.0</v>
      </c>
      <c r="S7" s="366">
        <v>52.0</v>
      </c>
      <c r="T7" s="364">
        <v>450.0</v>
      </c>
      <c r="U7" s="354">
        <f t="shared" si="9"/>
        <v>571</v>
      </c>
      <c r="V7" s="355">
        <f t="shared" si="4"/>
        <v>8.063492063</v>
      </c>
      <c r="W7" s="394">
        <v>818.0</v>
      </c>
      <c r="X7" s="394">
        <v>1847.0</v>
      </c>
      <c r="Y7" s="394">
        <v>34.0</v>
      </c>
      <c r="Z7" s="392">
        <f t="shared" si="10"/>
        <v>2699</v>
      </c>
      <c r="AA7" s="354">
        <f t="shared" si="11"/>
        <v>3486</v>
      </c>
      <c r="AB7" s="393">
        <f t="shared" si="5"/>
        <v>3.726795096</v>
      </c>
      <c r="AC7" s="393">
        <f t="shared" si="6"/>
        <v>16.64052288</v>
      </c>
      <c r="AD7" s="394">
        <v>0.0</v>
      </c>
      <c r="AE7" s="394">
        <v>1.0</v>
      </c>
      <c r="AF7" s="394">
        <v>2.0</v>
      </c>
      <c r="AG7" s="392">
        <f t="shared" si="12"/>
        <v>3</v>
      </c>
    </row>
    <row r="8">
      <c r="A8" s="356"/>
      <c r="B8" s="395" t="s">
        <v>570</v>
      </c>
      <c r="C8" s="396">
        <f t="shared" ref="C8:D8" si="14">C5/C4</f>
        <v>0.1009538951</v>
      </c>
      <c r="D8" s="396">
        <f t="shared" si="14"/>
        <v>0.06904541242</v>
      </c>
      <c r="E8" s="397">
        <f t="shared" si="7"/>
        <v>0.1699993075</v>
      </c>
      <c r="F8" s="398"/>
      <c r="G8" s="373">
        <f t="shared" si="1"/>
        <v>-0.3160698518</v>
      </c>
      <c r="H8" s="396">
        <f t="shared" ref="H8:K8" si="15">H5/H4</f>
        <v>0.004915758985</v>
      </c>
      <c r="I8" s="396">
        <f t="shared" si="15"/>
        <v>0.001961494734</v>
      </c>
      <c r="J8" s="396">
        <f t="shared" si="15"/>
        <v>0.0947265625</v>
      </c>
      <c r="K8" s="396">
        <f t="shared" si="15"/>
        <v>0.005214206253</v>
      </c>
      <c r="L8" s="373">
        <f>(K8-E8)</f>
        <v>-0.1647851012</v>
      </c>
      <c r="M8" s="396">
        <f t="shared" ref="M8:P8" si="16">M5/M4</f>
        <v>0.1955266955</v>
      </c>
      <c r="N8" s="396">
        <f t="shared" si="16"/>
        <v>0.004985270791</v>
      </c>
      <c r="O8" s="396">
        <f t="shared" si="16"/>
        <v>0.002300148464</v>
      </c>
      <c r="P8" s="396">
        <f t="shared" si="16"/>
        <v>0.008845882705</v>
      </c>
      <c r="Q8" s="373">
        <f>(P8-K8)</f>
        <v>0.003631676453</v>
      </c>
      <c r="R8" s="396">
        <f t="shared" ref="R8:U8" si="17">R5/R4</f>
        <v>0.003483720307</v>
      </c>
      <c r="S8" s="396">
        <f t="shared" si="17"/>
        <v>0.004132687667</v>
      </c>
      <c r="T8" s="396">
        <f t="shared" si="17"/>
        <v>0.003689535516</v>
      </c>
      <c r="U8" s="396">
        <f t="shared" si="17"/>
        <v>0.003771602718</v>
      </c>
      <c r="V8" s="373">
        <f t="shared" si="4"/>
        <v>-0.5736318416</v>
      </c>
      <c r="W8" s="399">
        <f t="shared" ref="W8:AA8" si="18">W5/W4</f>
        <v>0.008479203203</v>
      </c>
      <c r="X8" s="399">
        <f t="shared" si="18"/>
        <v>0.0006777614157</v>
      </c>
      <c r="Y8" s="399">
        <f t="shared" si="18"/>
        <v>0.003814283835</v>
      </c>
      <c r="Z8" s="399">
        <f t="shared" si="18"/>
        <v>0.004002943746</v>
      </c>
      <c r="AA8" s="400">
        <f t="shared" si="18"/>
        <v>0.004833340562</v>
      </c>
      <c r="AB8" s="397">
        <f>Z8-U8</f>
        <v>0.0002313410274</v>
      </c>
      <c r="AC8" s="397">
        <f>Z8-K8</f>
        <v>-0.001211262507</v>
      </c>
      <c r="AD8" s="399">
        <f t="shared" ref="AD8:AG8" si="19">AD5/AD4</f>
        <v>0.130044843</v>
      </c>
      <c r="AE8" s="399">
        <f t="shared" si="19"/>
        <v>0.165476963</v>
      </c>
      <c r="AF8" s="399">
        <f t="shared" si="19"/>
        <v>0.1415456874</v>
      </c>
      <c r="AG8" s="399">
        <f t="shared" si="19"/>
        <v>0.1468672457</v>
      </c>
    </row>
    <row r="9" ht="14.25" hidden="1" customHeight="1">
      <c r="A9" s="369"/>
      <c r="B9" s="401" t="s">
        <v>571</v>
      </c>
      <c r="C9" s="402">
        <v>14.0</v>
      </c>
      <c r="D9" s="403">
        <v>40.0</v>
      </c>
      <c r="E9" s="404">
        <f t="shared" si="7"/>
        <v>54</v>
      </c>
      <c r="F9" s="398"/>
      <c r="G9" s="373">
        <f t="shared" si="1"/>
        <v>1.857142857</v>
      </c>
      <c r="H9" s="403">
        <v>45.0</v>
      </c>
      <c r="I9" s="403">
        <v>23.0</v>
      </c>
      <c r="J9" s="403">
        <v>23.0</v>
      </c>
      <c r="K9" s="404">
        <f>SUM(H9:J9)</f>
        <v>91</v>
      </c>
      <c r="L9" s="373">
        <f t="shared" ref="L9:L15" si="20">(K9-E9)/E9</f>
        <v>0.6851851852</v>
      </c>
      <c r="M9" s="403">
        <v>51.0</v>
      </c>
      <c r="N9" s="403">
        <v>36.0</v>
      </c>
      <c r="O9" s="403">
        <v>34.0</v>
      </c>
      <c r="P9" s="404">
        <f>SUM(M9:O9)</f>
        <v>121</v>
      </c>
      <c r="Q9" s="373">
        <f t="shared" ref="Q9:Q15" si="21">(P9-K9)/K9</f>
        <v>0.3296703297</v>
      </c>
      <c r="R9" s="403">
        <v>32.0</v>
      </c>
      <c r="S9" s="403">
        <v>30.0</v>
      </c>
      <c r="T9" s="403">
        <v>37.0</v>
      </c>
      <c r="U9" s="405">
        <f>SUM(R9:T9)</f>
        <v>99</v>
      </c>
      <c r="V9" s="373">
        <f t="shared" si="4"/>
        <v>-0.1818181818</v>
      </c>
      <c r="W9" s="403"/>
      <c r="X9" s="403"/>
      <c r="Y9" s="403"/>
      <c r="Z9" s="403"/>
      <c r="AA9" s="406">
        <f t="shared" ref="AA9:AA15" si="22">Z9+U9+P9+K9</f>
        <v>311</v>
      </c>
      <c r="AB9" s="403"/>
      <c r="AC9" s="389">
        <f t="shared" ref="AC9:AC15" si="23">((Z9-K9) / K9)</f>
        <v>-1</v>
      </c>
      <c r="AD9" s="403"/>
      <c r="AE9" s="403"/>
      <c r="AF9" s="403"/>
      <c r="AG9" s="403"/>
    </row>
    <row r="10">
      <c r="A10" s="374" t="s">
        <v>572</v>
      </c>
      <c r="B10" s="352" t="s">
        <v>564</v>
      </c>
      <c r="C10" s="375">
        <v>295.0</v>
      </c>
      <c r="D10" s="354">
        <v>298.0</v>
      </c>
      <c r="E10" s="354">
        <v>298.0</v>
      </c>
      <c r="F10" s="387">
        <f>E10</f>
        <v>298</v>
      </c>
      <c r="G10" s="355">
        <f t="shared" si="1"/>
        <v>0.01016949153</v>
      </c>
      <c r="H10" s="354">
        <v>296.0</v>
      </c>
      <c r="I10" s="354">
        <v>301.0</v>
      </c>
      <c r="J10" s="354">
        <v>309.0</v>
      </c>
      <c r="K10" s="354">
        <v>309.0</v>
      </c>
      <c r="L10" s="355">
        <f t="shared" si="20"/>
        <v>0.03691275168</v>
      </c>
      <c r="M10" s="354">
        <v>315.0</v>
      </c>
      <c r="N10" s="354">
        <v>316.0</v>
      </c>
      <c r="O10" s="354">
        <v>318.0</v>
      </c>
      <c r="P10" s="354">
        <v>318.0</v>
      </c>
      <c r="Q10" s="355">
        <f t="shared" si="21"/>
        <v>0.02912621359</v>
      </c>
      <c r="R10" s="354">
        <v>318.0</v>
      </c>
      <c r="S10" s="354">
        <v>321.0</v>
      </c>
      <c r="T10" s="354">
        <v>330.0</v>
      </c>
      <c r="U10" s="354">
        <v>330.0</v>
      </c>
      <c r="V10" s="355">
        <f t="shared" si="4"/>
        <v>0.03773584906</v>
      </c>
      <c r="W10" s="354">
        <v>349.0</v>
      </c>
      <c r="X10" s="354">
        <v>368.0</v>
      </c>
      <c r="Y10" s="354">
        <v>382.0</v>
      </c>
      <c r="Z10" s="354">
        <v>382.0</v>
      </c>
      <c r="AA10" s="354">
        <f t="shared" si="22"/>
        <v>1339</v>
      </c>
      <c r="AB10" s="389">
        <f t="shared" ref="AB10:AB15" si="24">((Z10-U10) / U10)</f>
        <v>0.1575757576</v>
      </c>
      <c r="AC10" s="389">
        <f t="shared" si="23"/>
        <v>0.2362459547</v>
      </c>
      <c r="AD10" s="354">
        <v>388.0</v>
      </c>
      <c r="AE10" s="354">
        <v>389.0</v>
      </c>
      <c r="AF10" s="354">
        <v>391.0</v>
      </c>
      <c r="AG10" s="354">
        <v>391.0</v>
      </c>
    </row>
    <row r="11">
      <c r="A11" s="356"/>
      <c r="B11" s="352" t="s">
        <v>567</v>
      </c>
      <c r="C11" s="378">
        <v>39437.0</v>
      </c>
      <c r="D11" s="378">
        <v>67108.0</v>
      </c>
      <c r="E11" s="354">
        <f t="shared" ref="E11:E17" si="25">SUM(C11:D11)</f>
        <v>106545</v>
      </c>
      <c r="F11" s="390"/>
      <c r="G11" s="355">
        <f t="shared" si="1"/>
        <v>0.7016507341</v>
      </c>
      <c r="H11" s="378">
        <v>630677.0</v>
      </c>
      <c r="I11" s="378">
        <v>192222.0</v>
      </c>
      <c r="J11" s="378">
        <v>102684.0</v>
      </c>
      <c r="K11" s="354">
        <f t="shared" ref="K11:K15" si="26">SUM(H11:J11)</f>
        <v>925583</v>
      </c>
      <c r="L11" s="355">
        <f t="shared" si="20"/>
        <v>7.687249519</v>
      </c>
      <c r="M11" s="378">
        <v>24682.0</v>
      </c>
      <c r="N11" s="378">
        <v>253074.0</v>
      </c>
      <c r="O11" s="378">
        <v>252094.0</v>
      </c>
      <c r="P11" s="354">
        <f t="shared" ref="P11:P15" si="27">SUM(M11:O11)</f>
        <v>529850</v>
      </c>
      <c r="Q11" s="355">
        <f t="shared" si="21"/>
        <v>-0.4275499874</v>
      </c>
      <c r="R11" s="378">
        <v>326528.0</v>
      </c>
      <c r="S11" s="378">
        <v>303553.0</v>
      </c>
      <c r="T11" s="378">
        <v>360181.0</v>
      </c>
      <c r="U11" s="354">
        <f t="shared" ref="U11:U15" si="28">SUM(R11:T11)</f>
        <v>990262</v>
      </c>
      <c r="V11" s="355">
        <f t="shared" si="4"/>
        <v>0.8689478154</v>
      </c>
      <c r="W11" s="378">
        <v>518971.0</v>
      </c>
      <c r="X11" s="378">
        <v>180800.0</v>
      </c>
      <c r="Y11" s="378">
        <v>6286.0</v>
      </c>
      <c r="Z11" s="378">
        <f t="shared" ref="Z11:Z15" si="29">SUM(W11:Y11)</f>
        <v>706057</v>
      </c>
      <c r="AA11" s="354">
        <f t="shared" si="22"/>
        <v>3151752</v>
      </c>
      <c r="AB11" s="389">
        <f t="shared" si="24"/>
        <v>-0.2869998041</v>
      </c>
      <c r="AC11" s="389">
        <f t="shared" si="23"/>
        <v>-0.2371759205</v>
      </c>
      <c r="AD11" s="378">
        <v>897.0</v>
      </c>
      <c r="AE11" s="378">
        <v>792.0</v>
      </c>
      <c r="AF11" s="378">
        <v>1625.0</v>
      </c>
      <c r="AG11" s="378">
        <f t="shared" ref="AG11:AG15" si="30">SUM(AD11:AF11)</f>
        <v>3314</v>
      </c>
    </row>
    <row r="12">
      <c r="A12" s="356"/>
      <c r="B12" s="377" t="s">
        <v>565</v>
      </c>
      <c r="C12" s="378">
        <v>22255.0</v>
      </c>
      <c r="D12" s="378">
        <v>28004.0</v>
      </c>
      <c r="E12" s="354">
        <f t="shared" si="25"/>
        <v>50259</v>
      </c>
      <c r="F12" s="390"/>
      <c r="G12" s="355">
        <f t="shared" si="1"/>
        <v>0.2583239721</v>
      </c>
      <c r="H12" s="378">
        <v>193500.0</v>
      </c>
      <c r="I12" s="378">
        <v>101695.0</v>
      </c>
      <c r="J12" s="378">
        <v>46165.0</v>
      </c>
      <c r="K12" s="354">
        <f t="shared" si="26"/>
        <v>341360</v>
      </c>
      <c r="L12" s="355">
        <f t="shared" si="20"/>
        <v>5.79201735</v>
      </c>
      <c r="M12" s="378">
        <v>12753.0</v>
      </c>
      <c r="N12" s="378">
        <v>153541.0</v>
      </c>
      <c r="O12" s="378">
        <v>164297.0</v>
      </c>
      <c r="P12" s="354">
        <f t="shared" si="27"/>
        <v>330591</v>
      </c>
      <c r="Q12" s="355">
        <f t="shared" si="21"/>
        <v>-0.03154734005</v>
      </c>
      <c r="R12" s="378">
        <v>218051.0</v>
      </c>
      <c r="S12" s="378">
        <v>218051.0</v>
      </c>
      <c r="T12" s="378">
        <v>265127.0</v>
      </c>
      <c r="U12" s="354">
        <f t="shared" si="28"/>
        <v>701229</v>
      </c>
      <c r="V12" s="355">
        <f t="shared" si="4"/>
        <v>1.121137599</v>
      </c>
      <c r="W12" s="378">
        <v>310061.0</v>
      </c>
      <c r="X12" s="378">
        <v>96585.0</v>
      </c>
      <c r="Y12" s="378">
        <v>1418.0</v>
      </c>
      <c r="Z12" s="378">
        <f t="shared" si="29"/>
        <v>408064</v>
      </c>
      <c r="AA12" s="354">
        <f t="shared" si="22"/>
        <v>1781244</v>
      </c>
      <c r="AB12" s="389">
        <f t="shared" si="24"/>
        <v>-0.4180731259</v>
      </c>
      <c r="AC12" s="389">
        <f t="shared" si="23"/>
        <v>0.1954066089</v>
      </c>
      <c r="AD12" s="378">
        <v>259.0</v>
      </c>
      <c r="AE12" s="378">
        <v>342.0</v>
      </c>
      <c r="AF12" s="378">
        <v>947.0</v>
      </c>
      <c r="AG12" s="378">
        <f t="shared" si="30"/>
        <v>1548</v>
      </c>
    </row>
    <row r="13">
      <c r="A13" s="356"/>
      <c r="B13" s="363" t="s">
        <v>566</v>
      </c>
      <c r="C13" s="376">
        <v>38.0</v>
      </c>
      <c r="D13" s="364">
        <v>79.0</v>
      </c>
      <c r="E13" s="392">
        <f t="shared" si="25"/>
        <v>117</v>
      </c>
      <c r="F13" s="390"/>
      <c r="G13" s="355">
        <f t="shared" si="1"/>
        <v>1.078947368</v>
      </c>
      <c r="H13" s="364">
        <v>78.0</v>
      </c>
      <c r="I13" s="364">
        <v>52.0</v>
      </c>
      <c r="J13" s="364">
        <v>129.0</v>
      </c>
      <c r="K13" s="392">
        <f t="shared" si="26"/>
        <v>259</v>
      </c>
      <c r="L13" s="355">
        <f t="shared" si="20"/>
        <v>1.213675214</v>
      </c>
      <c r="M13" s="364">
        <v>125.0</v>
      </c>
      <c r="N13" s="364">
        <v>86.0</v>
      </c>
      <c r="O13" s="364">
        <v>70.0</v>
      </c>
      <c r="P13" s="392">
        <f t="shared" si="27"/>
        <v>281</v>
      </c>
      <c r="Q13" s="355">
        <f t="shared" si="21"/>
        <v>0.08494208494</v>
      </c>
      <c r="R13" s="364">
        <v>102.0</v>
      </c>
      <c r="S13" s="364">
        <v>90.0</v>
      </c>
      <c r="T13" s="364">
        <v>140.0</v>
      </c>
      <c r="U13" s="354">
        <f t="shared" si="28"/>
        <v>332</v>
      </c>
      <c r="V13" s="355">
        <f t="shared" si="4"/>
        <v>0.1814946619</v>
      </c>
      <c r="W13" s="394">
        <v>241.0</v>
      </c>
      <c r="X13" s="394">
        <v>359.0</v>
      </c>
      <c r="Y13" s="394">
        <v>108.0</v>
      </c>
      <c r="Z13" s="375">
        <f t="shared" si="29"/>
        <v>708</v>
      </c>
      <c r="AA13" s="354">
        <f t="shared" si="22"/>
        <v>1580</v>
      </c>
      <c r="AB13" s="393">
        <f t="shared" si="24"/>
        <v>1.13253012</v>
      </c>
      <c r="AC13" s="393">
        <f t="shared" si="23"/>
        <v>1.733590734</v>
      </c>
      <c r="AD13" s="394">
        <v>10.0</v>
      </c>
      <c r="AE13" s="394">
        <v>14.0</v>
      </c>
      <c r="AF13" s="394">
        <v>34.0</v>
      </c>
      <c r="AG13" s="375">
        <f t="shared" si="30"/>
        <v>58</v>
      </c>
    </row>
    <row r="14">
      <c r="A14" s="356"/>
      <c r="B14" s="363" t="s">
        <v>573</v>
      </c>
      <c r="C14" s="376">
        <v>220.0</v>
      </c>
      <c r="D14" s="364">
        <v>176.0</v>
      </c>
      <c r="E14" s="392">
        <f t="shared" si="25"/>
        <v>396</v>
      </c>
      <c r="F14" s="390"/>
      <c r="G14" s="355">
        <f t="shared" si="1"/>
        <v>-0.2</v>
      </c>
      <c r="H14" s="364">
        <v>201.0</v>
      </c>
      <c r="I14" s="364">
        <v>109.0</v>
      </c>
      <c r="J14" s="364">
        <v>308.0</v>
      </c>
      <c r="K14" s="392">
        <f t="shared" si="26"/>
        <v>618</v>
      </c>
      <c r="L14" s="355">
        <f t="shared" si="20"/>
        <v>0.5606060606</v>
      </c>
      <c r="M14" s="364">
        <v>164.0</v>
      </c>
      <c r="N14" s="364">
        <v>153.0</v>
      </c>
      <c r="O14" s="364">
        <v>218.0</v>
      </c>
      <c r="P14" s="392">
        <f t="shared" si="27"/>
        <v>535</v>
      </c>
      <c r="Q14" s="355">
        <f t="shared" si="21"/>
        <v>-0.1343042071</v>
      </c>
      <c r="R14" s="364">
        <v>136.0</v>
      </c>
      <c r="S14" s="364">
        <v>220.0</v>
      </c>
      <c r="T14" s="364">
        <v>413.0</v>
      </c>
      <c r="U14" s="354">
        <f t="shared" si="28"/>
        <v>769</v>
      </c>
      <c r="V14" s="355">
        <f t="shared" si="4"/>
        <v>0.4373831776</v>
      </c>
      <c r="W14" s="394">
        <v>1010.0</v>
      </c>
      <c r="X14" s="394">
        <v>876.0</v>
      </c>
      <c r="Y14" s="394">
        <v>117.0</v>
      </c>
      <c r="Z14" s="375">
        <f t="shared" si="29"/>
        <v>2003</v>
      </c>
      <c r="AA14" s="354">
        <f t="shared" si="22"/>
        <v>3925</v>
      </c>
      <c r="AB14" s="393">
        <f t="shared" si="24"/>
        <v>1.604681404</v>
      </c>
      <c r="AC14" s="393">
        <f t="shared" si="23"/>
        <v>2.241100324</v>
      </c>
      <c r="AD14" s="394">
        <v>78.0</v>
      </c>
      <c r="AE14" s="394">
        <v>84.0</v>
      </c>
      <c r="AF14" s="394">
        <v>51.0</v>
      </c>
      <c r="AG14" s="375">
        <f t="shared" si="30"/>
        <v>213</v>
      </c>
    </row>
    <row r="15">
      <c r="A15" s="356"/>
      <c r="B15" s="379" t="s">
        <v>569</v>
      </c>
      <c r="C15" s="376">
        <v>679.0</v>
      </c>
      <c r="D15" s="364">
        <v>404.0</v>
      </c>
      <c r="E15" s="392">
        <f t="shared" si="25"/>
        <v>1083</v>
      </c>
      <c r="F15" s="390"/>
      <c r="G15" s="355"/>
      <c r="H15" s="364">
        <v>1319.0</v>
      </c>
      <c r="I15" s="364">
        <v>151.0</v>
      </c>
      <c r="J15" s="364">
        <v>753.0</v>
      </c>
      <c r="K15" s="392">
        <f t="shared" si="26"/>
        <v>2223</v>
      </c>
      <c r="L15" s="355">
        <f t="shared" si="20"/>
        <v>1.052631579</v>
      </c>
      <c r="M15" s="364">
        <v>153.0</v>
      </c>
      <c r="N15" s="364">
        <v>94.0</v>
      </c>
      <c r="O15" s="364">
        <v>90.0</v>
      </c>
      <c r="P15" s="392">
        <f t="shared" si="27"/>
        <v>337</v>
      </c>
      <c r="Q15" s="355">
        <f t="shared" si="21"/>
        <v>-0.8484030589</v>
      </c>
      <c r="R15" s="364">
        <v>146.0</v>
      </c>
      <c r="S15" s="364">
        <v>518.0</v>
      </c>
      <c r="T15" s="364">
        <v>1249.0</v>
      </c>
      <c r="U15" s="354">
        <f t="shared" si="28"/>
        <v>1913</v>
      </c>
      <c r="V15" s="355">
        <f t="shared" si="4"/>
        <v>4.676557864</v>
      </c>
      <c r="W15" s="394">
        <v>1589.0</v>
      </c>
      <c r="X15" s="394">
        <v>675.0</v>
      </c>
      <c r="Y15" s="394">
        <v>14.0</v>
      </c>
      <c r="Z15" s="375">
        <f t="shared" si="29"/>
        <v>2278</v>
      </c>
      <c r="AA15" s="354">
        <f t="shared" si="22"/>
        <v>6751</v>
      </c>
      <c r="AB15" s="393">
        <f t="shared" si="24"/>
        <v>0.1907997909</v>
      </c>
      <c r="AC15" s="393">
        <f t="shared" si="23"/>
        <v>0.02474134053</v>
      </c>
      <c r="AD15" s="394">
        <v>0.0</v>
      </c>
      <c r="AE15" s="394">
        <v>0.0</v>
      </c>
      <c r="AF15" s="394">
        <v>0.0</v>
      </c>
      <c r="AG15" s="375">
        <f t="shared" si="30"/>
        <v>0</v>
      </c>
    </row>
    <row r="16">
      <c r="A16" s="356"/>
      <c r="B16" s="395" t="s">
        <v>570</v>
      </c>
      <c r="C16" s="380">
        <f t="shared" ref="C16:D16" si="31">C13/C12</f>
        <v>0.001707481465</v>
      </c>
      <c r="D16" s="380">
        <f t="shared" si="31"/>
        <v>0.002821025568</v>
      </c>
      <c r="E16" s="389">
        <f t="shared" si="25"/>
        <v>0.004528507033</v>
      </c>
      <c r="F16" s="390"/>
      <c r="G16" s="355">
        <f t="shared" ref="G16:G17" si="37">(D16-C16)/C16</f>
        <v>0.652155895</v>
      </c>
      <c r="H16" s="380">
        <f t="shared" ref="H16:K16" si="32">H13/H12</f>
        <v>0.0004031007752</v>
      </c>
      <c r="I16" s="380">
        <f t="shared" si="32"/>
        <v>0.0005113329072</v>
      </c>
      <c r="J16" s="380">
        <f t="shared" si="32"/>
        <v>0.002794324705</v>
      </c>
      <c r="K16" s="380">
        <f t="shared" si="32"/>
        <v>0.0007587297867</v>
      </c>
      <c r="L16" s="355">
        <f>K16-E16</f>
        <v>-0.003769777246</v>
      </c>
      <c r="M16" s="407">
        <f t="shared" ref="M16:P16" si="33">M13/M12</f>
        <v>0.009801615306</v>
      </c>
      <c r="N16" s="407">
        <f t="shared" si="33"/>
        <v>0.0005601109801</v>
      </c>
      <c r="O16" s="407">
        <f t="shared" si="33"/>
        <v>0.0004260576882</v>
      </c>
      <c r="P16" s="397">
        <f t="shared" si="33"/>
        <v>0.0008499928915</v>
      </c>
      <c r="Q16" s="373">
        <f>P16-K16</f>
        <v>0.00009126310478</v>
      </c>
      <c r="R16" s="407">
        <f t="shared" ref="R16:U16" si="34">R13/R12</f>
        <v>0.0004677804734</v>
      </c>
      <c r="S16" s="407">
        <f t="shared" si="34"/>
        <v>0.0004127474765</v>
      </c>
      <c r="T16" s="407">
        <f t="shared" si="34"/>
        <v>0.0005280488219</v>
      </c>
      <c r="U16" s="407">
        <f t="shared" si="34"/>
        <v>0.0004734544635</v>
      </c>
      <c r="V16" s="373">
        <f>U16-P16</f>
        <v>-0.000376538428</v>
      </c>
      <c r="W16" s="397">
        <f t="shared" ref="W16:AA16" si="35">W13/W12</f>
        <v>0.0007772664089</v>
      </c>
      <c r="X16" s="397">
        <f t="shared" si="35"/>
        <v>0.003716933271</v>
      </c>
      <c r="Y16" s="397">
        <f t="shared" si="35"/>
        <v>0.07616361072</v>
      </c>
      <c r="Z16" s="397">
        <f t="shared" si="35"/>
        <v>0.001735021957</v>
      </c>
      <c r="AA16" s="397">
        <f t="shared" si="35"/>
        <v>0.0008870205317</v>
      </c>
      <c r="AB16" s="397">
        <f>Z16-U16</f>
        <v>0.001261567494</v>
      </c>
      <c r="AC16" s="397">
        <f>Z16-K16</f>
        <v>0.0009762921706</v>
      </c>
      <c r="AD16" s="397">
        <f t="shared" ref="AD16:AG16" si="36">AD13/AD12</f>
        <v>0.03861003861</v>
      </c>
      <c r="AE16" s="397">
        <f t="shared" si="36"/>
        <v>0.04093567251</v>
      </c>
      <c r="AF16" s="397">
        <f t="shared" si="36"/>
        <v>0.03590285111</v>
      </c>
      <c r="AG16" s="397">
        <f t="shared" si="36"/>
        <v>0.03746770026</v>
      </c>
    </row>
    <row r="17" ht="30.75" hidden="1" customHeight="1">
      <c r="A17" s="369"/>
      <c r="B17" s="401" t="s">
        <v>574</v>
      </c>
      <c r="C17" s="381">
        <v>18.0</v>
      </c>
      <c r="D17" s="372">
        <v>22.0</v>
      </c>
      <c r="E17" s="404">
        <f t="shared" si="25"/>
        <v>40</v>
      </c>
      <c r="F17" s="373"/>
      <c r="G17" s="373">
        <f t="shared" si="37"/>
        <v>0.2222222222</v>
      </c>
      <c r="H17" s="372">
        <v>45.0</v>
      </c>
      <c r="I17" s="372">
        <v>23.0</v>
      </c>
      <c r="J17" s="372">
        <v>61.0</v>
      </c>
      <c r="K17" s="404">
        <f>SUM(H17:J17)</f>
        <v>129</v>
      </c>
      <c r="L17" s="373">
        <f>(K17-E17)/E17</f>
        <v>2.225</v>
      </c>
      <c r="M17" s="403">
        <v>65.0</v>
      </c>
      <c r="N17" s="403">
        <v>43.0</v>
      </c>
      <c r="O17" s="403">
        <v>46.0</v>
      </c>
      <c r="P17" s="404">
        <f>SUM(M17:O17)</f>
        <v>154</v>
      </c>
      <c r="Q17" s="373">
        <f>(P17-K17)/K17</f>
        <v>0.1937984496</v>
      </c>
      <c r="R17" s="403">
        <v>65.0</v>
      </c>
      <c r="S17" s="403">
        <v>43.0</v>
      </c>
      <c r="T17" s="403">
        <v>46.0</v>
      </c>
      <c r="U17" s="405">
        <f>SUM(R17:T17)</f>
        <v>154</v>
      </c>
      <c r="V17" s="373">
        <f>(T17-O17)/O17</f>
        <v>0</v>
      </c>
      <c r="W17" s="403"/>
      <c r="X17" s="403"/>
      <c r="Y17" s="403"/>
      <c r="Z17" s="403"/>
      <c r="AA17" s="403"/>
      <c r="AB17" s="403"/>
      <c r="AC17" s="403"/>
    </row>
    <row r="18">
      <c r="C18" s="382"/>
      <c r="I18" s="174"/>
    </row>
    <row r="19">
      <c r="C19" s="382"/>
      <c r="I19" s="174"/>
    </row>
    <row r="20">
      <c r="C20" s="382"/>
      <c r="I20" s="174"/>
      <c r="Z20" s="408"/>
    </row>
    <row r="21">
      <c r="C21" s="382"/>
      <c r="I21" s="174"/>
    </row>
    <row r="22">
      <c r="C22" s="382"/>
      <c r="I22" s="174"/>
    </row>
    <row r="23">
      <c r="C23" s="382"/>
      <c r="I23" s="174"/>
    </row>
    <row r="24">
      <c r="C24" s="382"/>
      <c r="I24" s="174"/>
    </row>
    <row r="25">
      <c r="C25" s="382"/>
      <c r="I25" s="174"/>
    </row>
    <row r="26">
      <c r="C26" s="382"/>
      <c r="I26" s="174"/>
    </row>
    <row r="27">
      <c r="C27" s="382"/>
      <c r="I27" s="174"/>
    </row>
    <row r="28">
      <c r="C28" s="382"/>
      <c r="I28" s="174"/>
    </row>
    <row r="29">
      <c r="C29" s="382"/>
      <c r="I29" s="174"/>
    </row>
    <row r="30">
      <c r="C30" s="382"/>
      <c r="I30" s="174"/>
    </row>
    <row r="31">
      <c r="C31" s="382"/>
      <c r="I31" s="174"/>
    </row>
    <row r="32">
      <c r="C32" s="382"/>
      <c r="I32" s="174"/>
    </row>
    <row r="33">
      <c r="C33" s="382"/>
      <c r="I33" s="174"/>
    </row>
    <row r="34">
      <c r="C34" s="382"/>
      <c r="I34" s="174"/>
    </row>
    <row r="35">
      <c r="C35" s="382"/>
      <c r="I35" s="174"/>
    </row>
    <row r="36">
      <c r="C36" s="382"/>
      <c r="I36" s="174"/>
    </row>
    <row r="37">
      <c r="C37" s="382"/>
      <c r="I37" s="174"/>
    </row>
    <row r="38">
      <c r="C38" s="382"/>
      <c r="I38" s="174"/>
    </row>
    <row r="39">
      <c r="C39" s="382"/>
      <c r="I39" s="174"/>
    </row>
    <row r="40">
      <c r="C40" s="382"/>
      <c r="I40" s="174"/>
    </row>
    <row r="41">
      <c r="C41" s="382"/>
      <c r="I41" s="174"/>
    </row>
    <row r="42">
      <c r="C42" s="382"/>
      <c r="I42" s="174"/>
    </row>
    <row r="43">
      <c r="C43" s="382"/>
      <c r="I43" s="174"/>
    </row>
    <row r="44">
      <c r="C44" s="382"/>
      <c r="I44" s="174"/>
    </row>
    <row r="45">
      <c r="C45" s="382"/>
      <c r="I45" s="174"/>
    </row>
    <row r="46">
      <c r="C46" s="382"/>
      <c r="I46" s="174"/>
    </row>
    <row r="47">
      <c r="C47" s="382"/>
      <c r="I47" s="174"/>
    </row>
    <row r="48">
      <c r="C48" s="382"/>
      <c r="I48" s="174"/>
    </row>
    <row r="49">
      <c r="C49" s="382"/>
      <c r="I49" s="174"/>
    </row>
    <row r="50">
      <c r="C50" s="382"/>
      <c r="I50" s="174"/>
    </row>
    <row r="51">
      <c r="C51" s="382"/>
      <c r="I51" s="174"/>
    </row>
    <row r="52">
      <c r="C52" s="382"/>
      <c r="I52" s="174"/>
    </row>
    <row r="53">
      <c r="C53" s="382"/>
      <c r="I53" s="174"/>
    </row>
    <row r="54">
      <c r="C54" s="382"/>
      <c r="I54" s="174"/>
    </row>
    <row r="55">
      <c r="C55" s="382"/>
      <c r="I55" s="174"/>
    </row>
    <row r="56">
      <c r="C56" s="382"/>
      <c r="I56" s="174"/>
    </row>
    <row r="57">
      <c r="C57" s="382"/>
      <c r="I57" s="174"/>
    </row>
    <row r="58">
      <c r="C58" s="382"/>
      <c r="I58" s="174"/>
    </row>
    <row r="59">
      <c r="C59" s="382"/>
      <c r="I59" s="174"/>
    </row>
    <row r="60">
      <c r="C60" s="382"/>
      <c r="I60" s="174"/>
    </row>
    <row r="61">
      <c r="C61" s="382"/>
      <c r="I61" s="174"/>
    </row>
    <row r="62">
      <c r="C62" s="382"/>
      <c r="I62" s="174"/>
    </row>
    <row r="63">
      <c r="C63" s="382"/>
      <c r="I63" s="174"/>
    </row>
    <row r="64">
      <c r="C64" s="382"/>
      <c r="I64" s="174"/>
    </row>
    <row r="65">
      <c r="C65" s="382"/>
      <c r="I65" s="174"/>
    </row>
    <row r="66">
      <c r="C66" s="382"/>
      <c r="I66" s="174"/>
    </row>
    <row r="67">
      <c r="C67" s="382"/>
      <c r="I67" s="174"/>
    </row>
    <row r="68">
      <c r="C68" s="382"/>
      <c r="I68" s="174"/>
    </row>
    <row r="69">
      <c r="C69" s="382"/>
      <c r="I69" s="174"/>
    </row>
    <row r="70">
      <c r="C70" s="382"/>
      <c r="I70" s="174"/>
    </row>
    <row r="71">
      <c r="C71" s="382"/>
      <c r="I71" s="174"/>
    </row>
    <row r="72">
      <c r="C72" s="382"/>
      <c r="I72" s="174"/>
    </row>
    <row r="73">
      <c r="C73" s="382"/>
      <c r="I73" s="174"/>
    </row>
    <row r="74">
      <c r="C74" s="382"/>
      <c r="I74" s="174"/>
    </row>
    <row r="75">
      <c r="C75" s="382"/>
      <c r="I75" s="174"/>
    </row>
    <row r="76">
      <c r="C76" s="382"/>
      <c r="I76" s="174"/>
    </row>
    <row r="77">
      <c r="C77" s="382"/>
      <c r="I77" s="174"/>
    </row>
    <row r="78">
      <c r="C78" s="382"/>
      <c r="I78" s="174"/>
    </row>
    <row r="79">
      <c r="C79" s="382"/>
      <c r="I79" s="174"/>
    </row>
    <row r="80">
      <c r="C80" s="382"/>
      <c r="I80" s="174"/>
    </row>
    <row r="81">
      <c r="C81" s="382"/>
      <c r="I81" s="174"/>
    </row>
    <row r="82">
      <c r="C82" s="382"/>
      <c r="I82" s="174"/>
    </row>
    <row r="83">
      <c r="C83" s="382"/>
      <c r="I83" s="174"/>
    </row>
    <row r="84">
      <c r="C84" s="382"/>
      <c r="I84" s="174"/>
    </row>
    <row r="85">
      <c r="C85" s="382"/>
      <c r="I85" s="174"/>
    </row>
    <row r="86">
      <c r="C86" s="382"/>
      <c r="I86" s="174"/>
    </row>
    <row r="87">
      <c r="C87" s="382"/>
      <c r="I87" s="174"/>
    </row>
    <row r="88">
      <c r="C88" s="382"/>
      <c r="I88" s="174"/>
    </row>
    <row r="89">
      <c r="C89" s="382"/>
      <c r="I89" s="174"/>
    </row>
    <row r="90">
      <c r="C90" s="382"/>
      <c r="I90" s="174"/>
    </row>
    <row r="91">
      <c r="C91" s="382"/>
      <c r="I91" s="174"/>
    </row>
    <row r="92">
      <c r="C92" s="382"/>
      <c r="I92" s="174"/>
    </row>
    <row r="93">
      <c r="C93" s="382"/>
      <c r="I93" s="174"/>
    </row>
    <row r="94">
      <c r="C94" s="382"/>
      <c r="I94" s="174"/>
    </row>
    <row r="95">
      <c r="C95" s="382"/>
      <c r="I95" s="174"/>
    </row>
    <row r="96">
      <c r="C96" s="382"/>
      <c r="I96" s="174"/>
    </row>
    <row r="97">
      <c r="C97" s="382"/>
      <c r="I97" s="174"/>
    </row>
    <row r="98">
      <c r="C98" s="382"/>
      <c r="I98" s="174"/>
    </row>
    <row r="99">
      <c r="C99" s="382"/>
      <c r="I99" s="174"/>
    </row>
    <row r="100">
      <c r="C100" s="382"/>
      <c r="I100" s="174"/>
    </row>
    <row r="101">
      <c r="C101" s="382"/>
      <c r="I101" s="174"/>
    </row>
    <row r="102">
      <c r="C102" s="382"/>
      <c r="I102" s="174"/>
    </row>
    <row r="103">
      <c r="C103" s="382"/>
      <c r="I103" s="174"/>
    </row>
    <row r="104">
      <c r="C104" s="382"/>
      <c r="I104" s="174"/>
    </row>
    <row r="105">
      <c r="C105" s="382"/>
      <c r="I105" s="174"/>
    </row>
    <row r="106">
      <c r="C106" s="382"/>
      <c r="I106" s="174"/>
    </row>
    <row r="107">
      <c r="C107" s="382"/>
      <c r="I107" s="174"/>
    </row>
    <row r="108">
      <c r="C108" s="382"/>
      <c r="I108" s="174"/>
    </row>
    <row r="109">
      <c r="C109" s="382"/>
      <c r="I109" s="174"/>
    </row>
    <row r="110">
      <c r="C110" s="382"/>
      <c r="I110" s="174"/>
    </row>
    <row r="111">
      <c r="C111" s="382"/>
      <c r="I111" s="174"/>
    </row>
    <row r="112">
      <c r="C112" s="382"/>
      <c r="I112" s="174"/>
    </row>
    <row r="113">
      <c r="C113" s="382"/>
      <c r="I113" s="174"/>
    </row>
    <row r="114">
      <c r="C114" s="382"/>
      <c r="I114" s="174"/>
    </row>
    <row r="115">
      <c r="C115" s="382"/>
      <c r="I115" s="174"/>
    </row>
    <row r="116">
      <c r="C116" s="382"/>
      <c r="I116" s="174"/>
    </row>
    <row r="117">
      <c r="C117" s="382"/>
      <c r="I117" s="174"/>
    </row>
    <row r="118">
      <c r="C118" s="382"/>
      <c r="I118" s="174"/>
    </row>
    <row r="119">
      <c r="C119" s="382"/>
      <c r="I119" s="174"/>
    </row>
    <row r="120">
      <c r="C120" s="382"/>
      <c r="I120" s="174"/>
    </row>
    <row r="121">
      <c r="C121" s="382"/>
      <c r="I121" s="174"/>
    </row>
    <row r="122">
      <c r="C122" s="382"/>
      <c r="I122" s="174"/>
    </row>
    <row r="123">
      <c r="C123" s="382"/>
      <c r="I123" s="174"/>
    </row>
    <row r="124">
      <c r="C124" s="382"/>
      <c r="I124" s="174"/>
    </row>
    <row r="125">
      <c r="C125" s="382"/>
      <c r="I125" s="174"/>
    </row>
    <row r="126">
      <c r="C126" s="382"/>
      <c r="I126" s="174"/>
    </row>
    <row r="127">
      <c r="C127" s="382"/>
      <c r="I127" s="174"/>
    </row>
    <row r="128">
      <c r="C128" s="382"/>
      <c r="I128" s="174"/>
    </row>
    <row r="129">
      <c r="C129" s="382"/>
      <c r="I129" s="174"/>
    </row>
    <row r="130">
      <c r="C130" s="382"/>
      <c r="I130" s="174"/>
    </row>
    <row r="131">
      <c r="C131" s="382"/>
      <c r="I131" s="174"/>
    </row>
    <row r="132">
      <c r="C132" s="382"/>
      <c r="I132" s="174"/>
    </row>
    <row r="133">
      <c r="C133" s="382"/>
      <c r="I133" s="174"/>
    </row>
    <row r="134">
      <c r="C134" s="382"/>
      <c r="I134" s="174"/>
    </row>
    <row r="135">
      <c r="C135" s="382"/>
      <c r="I135" s="174"/>
    </row>
    <row r="136">
      <c r="C136" s="382"/>
      <c r="I136" s="174"/>
    </row>
    <row r="137">
      <c r="C137" s="382"/>
      <c r="I137" s="174"/>
    </row>
    <row r="138">
      <c r="C138" s="382"/>
      <c r="I138" s="174"/>
    </row>
    <row r="139">
      <c r="C139" s="382"/>
      <c r="I139" s="174"/>
    </row>
    <row r="140">
      <c r="C140" s="382"/>
      <c r="I140" s="174"/>
    </row>
    <row r="141">
      <c r="C141" s="382"/>
      <c r="I141" s="174"/>
    </row>
    <row r="142">
      <c r="C142" s="382"/>
      <c r="I142" s="174"/>
    </row>
    <row r="143">
      <c r="C143" s="382"/>
      <c r="I143" s="174"/>
    </row>
    <row r="144">
      <c r="C144" s="382"/>
      <c r="I144" s="174"/>
    </row>
    <row r="145">
      <c r="C145" s="382"/>
      <c r="I145" s="174"/>
    </row>
    <row r="146">
      <c r="C146" s="382"/>
      <c r="I146" s="174"/>
    </row>
    <row r="147">
      <c r="C147" s="382"/>
      <c r="I147" s="174"/>
    </row>
    <row r="148">
      <c r="C148" s="382"/>
      <c r="I148" s="174"/>
    </row>
    <row r="149">
      <c r="C149" s="382"/>
      <c r="I149" s="174"/>
    </row>
    <row r="150">
      <c r="C150" s="382"/>
      <c r="I150" s="174"/>
    </row>
    <row r="151">
      <c r="C151" s="382"/>
      <c r="I151" s="174"/>
    </row>
    <row r="152">
      <c r="C152" s="382"/>
      <c r="I152" s="174"/>
    </row>
    <row r="153">
      <c r="C153" s="382"/>
      <c r="I153" s="174"/>
    </row>
    <row r="154">
      <c r="C154" s="382"/>
      <c r="I154" s="174"/>
    </row>
    <row r="155">
      <c r="C155" s="382"/>
      <c r="I155" s="174"/>
    </row>
    <row r="156">
      <c r="C156" s="382"/>
      <c r="I156" s="174"/>
    </row>
    <row r="157">
      <c r="C157" s="382"/>
      <c r="I157" s="174"/>
    </row>
    <row r="158">
      <c r="C158" s="382"/>
      <c r="I158" s="174"/>
    </row>
    <row r="159">
      <c r="C159" s="382"/>
      <c r="I159" s="174"/>
    </row>
    <row r="160">
      <c r="C160" s="382"/>
      <c r="I160" s="174"/>
    </row>
    <row r="161">
      <c r="C161" s="382"/>
      <c r="I161" s="174"/>
    </row>
    <row r="162">
      <c r="C162" s="382"/>
      <c r="I162" s="174"/>
    </row>
    <row r="163">
      <c r="C163" s="382"/>
      <c r="I163" s="174"/>
    </row>
    <row r="164">
      <c r="C164" s="382"/>
      <c r="I164" s="174"/>
    </row>
    <row r="165">
      <c r="C165" s="382"/>
      <c r="I165" s="174"/>
    </row>
    <row r="166">
      <c r="C166" s="382"/>
      <c r="I166" s="174"/>
    </row>
    <row r="167">
      <c r="C167" s="382"/>
      <c r="I167" s="174"/>
    </row>
    <row r="168">
      <c r="C168" s="382"/>
      <c r="I168" s="174"/>
    </row>
    <row r="169">
      <c r="C169" s="382"/>
      <c r="I169" s="174"/>
    </row>
    <row r="170">
      <c r="C170" s="382"/>
      <c r="I170" s="174"/>
    </row>
    <row r="171">
      <c r="C171" s="382"/>
      <c r="I171" s="174"/>
    </row>
    <row r="172">
      <c r="C172" s="382"/>
      <c r="I172" s="174"/>
    </row>
    <row r="173">
      <c r="C173" s="382"/>
      <c r="I173" s="174"/>
    </row>
    <row r="174">
      <c r="C174" s="382"/>
      <c r="I174" s="174"/>
    </row>
    <row r="175">
      <c r="C175" s="382"/>
      <c r="I175" s="174"/>
    </row>
    <row r="176">
      <c r="C176" s="382"/>
      <c r="I176" s="174"/>
    </row>
    <row r="177">
      <c r="C177" s="382"/>
      <c r="I177" s="174"/>
    </row>
    <row r="178">
      <c r="C178" s="382"/>
      <c r="I178" s="174"/>
    </row>
    <row r="179">
      <c r="C179" s="382"/>
      <c r="I179" s="174"/>
    </row>
    <row r="180">
      <c r="C180" s="382"/>
      <c r="I180" s="174"/>
    </row>
    <row r="181">
      <c r="C181" s="382"/>
      <c r="I181" s="174"/>
    </row>
    <row r="182">
      <c r="C182" s="382"/>
      <c r="I182" s="174"/>
    </row>
    <row r="183">
      <c r="C183" s="382"/>
      <c r="I183" s="174"/>
    </row>
    <row r="184">
      <c r="C184" s="382"/>
      <c r="I184" s="174"/>
    </row>
    <row r="185">
      <c r="C185" s="382"/>
      <c r="I185" s="174"/>
    </row>
    <row r="186">
      <c r="C186" s="382"/>
      <c r="I186" s="174"/>
    </row>
    <row r="187">
      <c r="C187" s="382"/>
      <c r="I187" s="174"/>
    </row>
    <row r="188">
      <c r="C188" s="382"/>
      <c r="I188" s="174"/>
    </row>
    <row r="189">
      <c r="C189" s="382"/>
      <c r="I189" s="174"/>
    </row>
    <row r="190">
      <c r="C190" s="382"/>
      <c r="I190" s="174"/>
    </row>
    <row r="191">
      <c r="C191" s="382"/>
      <c r="I191" s="174"/>
    </row>
    <row r="192">
      <c r="C192" s="382"/>
      <c r="I192" s="174"/>
    </row>
    <row r="193">
      <c r="C193" s="382"/>
      <c r="I193" s="174"/>
    </row>
    <row r="194">
      <c r="C194" s="382"/>
      <c r="I194" s="174"/>
    </row>
    <row r="195">
      <c r="C195" s="382"/>
      <c r="I195" s="174"/>
    </row>
    <row r="196">
      <c r="C196" s="382"/>
      <c r="I196" s="174"/>
    </row>
    <row r="197">
      <c r="C197" s="382"/>
      <c r="I197" s="174"/>
    </row>
    <row r="198">
      <c r="C198" s="382"/>
      <c r="I198" s="174"/>
    </row>
    <row r="199">
      <c r="C199" s="382"/>
      <c r="I199" s="174"/>
    </row>
    <row r="200">
      <c r="C200" s="382"/>
      <c r="I200" s="174"/>
    </row>
    <row r="201">
      <c r="C201" s="382"/>
      <c r="I201" s="174"/>
    </row>
    <row r="202">
      <c r="C202" s="382"/>
      <c r="I202" s="174"/>
    </row>
    <row r="203">
      <c r="C203" s="382"/>
      <c r="I203" s="174"/>
    </row>
    <row r="204">
      <c r="C204" s="382"/>
      <c r="I204" s="174"/>
    </row>
    <row r="205">
      <c r="C205" s="382"/>
      <c r="I205" s="174"/>
    </row>
    <row r="206">
      <c r="C206" s="382"/>
      <c r="I206" s="174"/>
    </row>
    <row r="207">
      <c r="C207" s="382"/>
      <c r="I207" s="174"/>
    </row>
    <row r="208">
      <c r="C208" s="382"/>
      <c r="I208" s="174"/>
    </row>
    <row r="209">
      <c r="C209" s="382"/>
      <c r="I209" s="174"/>
    </row>
    <row r="210">
      <c r="C210" s="382"/>
      <c r="I210" s="174"/>
    </row>
    <row r="211">
      <c r="C211" s="382"/>
      <c r="I211" s="174"/>
    </row>
    <row r="212">
      <c r="C212" s="382"/>
      <c r="I212" s="174"/>
    </row>
    <row r="213">
      <c r="C213" s="382"/>
      <c r="I213" s="174"/>
    </row>
    <row r="214">
      <c r="C214" s="382"/>
      <c r="I214" s="174"/>
    </row>
    <row r="215">
      <c r="C215" s="382"/>
      <c r="I215" s="174"/>
    </row>
    <row r="216">
      <c r="C216" s="382"/>
      <c r="I216" s="174"/>
    </row>
    <row r="217">
      <c r="C217" s="382"/>
      <c r="I217" s="174"/>
    </row>
    <row r="218">
      <c r="C218" s="382"/>
      <c r="I218" s="174"/>
    </row>
    <row r="219">
      <c r="C219" s="382"/>
      <c r="I219" s="174"/>
    </row>
    <row r="220">
      <c r="C220" s="382"/>
      <c r="I220" s="174"/>
    </row>
    <row r="221">
      <c r="C221" s="382"/>
      <c r="I221" s="174"/>
    </row>
    <row r="222">
      <c r="C222" s="382"/>
      <c r="I222" s="174"/>
    </row>
    <row r="223">
      <c r="C223" s="382"/>
      <c r="I223" s="174"/>
    </row>
    <row r="224">
      <c r="C224" s="382"/>
      <c r="I224" s="174"/>
    </row>
    <row r="225">
      <c r="C225" s="382"/>
      <c r="I225" s="174"/>
    </row>
    <row r="226">
      <c r="C226" s="382"/>
      <c r="I226" s="174"/>
    </row>
    <row r="227">
      <c r="C227" s="382"/>
      <c r="I227" s="174"/>
    </row>
    <row r="228">
      <c r="C228" s="382"/>
      <c r="I228" s="174"/>
    </row>
    <row r="229">
      <c r="C229" s="382"/>
      <c r="I229" s="174"/>
    </row>
    <row r="230">
      <c r="C230" s="382"/>
      <c r="I230" s="174"/>
    </row>
    <row r="231">
      <c r="C231" s="382"/>
      <c r="I231" s="174"/>
    </row>
    <row r="232">
      <c r="C232" s="382"/>
      <c r="I232" s="174"/>
    </row>
    <row r="233">
      <c r="C233" s="382"/>
      <c r="I233" s="174"/>
    </row>
    <row r="234">
      <c r="C234" s="382"/>
      <c r="I234" s="174"/>
    </row>
    <row r="235">
      <c r="C235" s="382"/>
      <c r="I235" s="174"/>
    </row>
    <row r="236">
      <c r="C236" s="382"/>
      <c r="I236" s="174"/>
    </row>
    <row r="237">
      <c r="C237" s="382"/>
      <c r="I237" s="174"/>
    </row>
    <row r="238">
      <c r="C238" s="382"/>
      <c r="I238" s="174"/>
    </row>
    <row r="239">
      <c r="C239" s="382"/>
      <c r="I239" s="174"/>
    </row>
    <row r="240">
      <c r="C240" s="382"/>
      <c r="I240" s="174"/>
    </row>
    <row r="241">
      <c r="C241" s="382"/>
      <c r="I241" s="174"/>
    </row>
    <row r="242">
      <c r="C242" s="382"/>
      <c r="I242" s="174"/>
    </row>
    <row r="243">
      <c r="C243" s="382"/>
      <c r="I243" s="174"/>
    </row>
    <row r="244">
      <c r="C244" s="382"/>
      <c r="I244" s="174"/>
    </row>
    <row r="245">
      <c r="C245" s="382"/>
      <c r="I245" s="174"/>
    </row>
    <row r="246">
      <c r="C246" s="382"/>
      <c r="I246" s="174"/>
    </row>
    <row r="247">
      <c r="C247" s="382"/>
      <c r="I247" s="174"/>
    </row>
    <row r="248">
      <c r="C248" s="382"/>
      <c r="I248" s="174"/>
    </row>
    <row r="249">
      <c r="C249" s="382"/>
      <c r="I249" s="174"/>
    </row>
    <row r="250">
      <c r="C250" s="382"/>
      <c r="I250" s="174"/>
    </row>
    <row r="251">
      <c r="C251" s="382"/>
      <c r="I251" s="174"/>
    </row>
    <row r="252">
      <c r="C252" s="382"/>
      <c r="I252" s="174"/>
    </row>
    <row r="253">
      <c r="C253" s="382"/>
      <c r="I253" s="174"/>
    </row>
    <row r="254">
      <c r="C254" s="382"/>
      <c r="I254" s="174"/>
    </row>
    <row r="255">
      <c r="C255" s="382"/>
      <c r="I255" s="174"/>
    </row>
    <row r="256">
      <c r="C256" s="382"/>
      <c r="I256" s="174"/>
    </row>
    <row r="257">
      <c r="C257" s="382"/>
      <c r="I257" s="174"/>
    </row>
    <row r="258">
      <c r="C258" s="382"/>
      <c r="I258" s="174"/>
    </row>
    <row r="259">
      <c r="C259" s="382"/>
      <c r="I259" s="174"/>
    </row>
    <row r="260">
      <c r="C260" s="382"/>
      <c r="I260" s="174"/>
    </row>
    <row r="261">
      <c r="C261" s="382"/>
      <c r="I261" s="174"/>
    </row>
    <row r="262">
      <c r="C262" s="382"/>
      <c r="I262" s="174"/>
    </row>
    <row r="263">
      <c r="C263" s="382"/>
      <c r="I263" s="174"/>
    </row>
    <row r="264">
      <c r="C264" s="382"/>
      <c r="I264" s="174"/>
    </row>
    <row r="265">
      <c r="C265" s="382"/>
      <c r="I265" s="174"/>
    </row>
    <row r="266">
      <c r="C266" s="382"/>
      <c r="I266" s="174"/>
    </row>
    <row r="267">
      <c r="C267" s="382"/>
      <c r="I267" s="174"/>
    </row>
    <row r="268">
      <c r="C268" s="382"/>
      <c r="I268" s="174"/>
    </row>
    <row r="269">
      <c r="C269" s="382"/>
      <c r="I269" s="174"/>
    </row>
    <row r="270">
      <c r="C270" s="382"/>
      <c r="I270" s="174"/>
    </row>
    <row r="271">
      <c r="C271" s="382"/>
      <c r="I271" s="174"/>
    </row>
    <row r="272">
      <c r="C272" s="382"/>
      <c r="I272" s="174"/>
    </row>
    <row r="273">
      <c r="C273" s="382"/>
      <c r="I273" s="174"/>
    </row>
    <row r="274">
      <c r="C274" s="382"/>
      <c r="I274" s="174"/>
    </row>
    <row r="275">
      <c r="C275" s="382"/>
      <c r="I275" s="174"/>
    </row>
    <row r="276">
      <c r="C276" s="382"/>
      <c r="I276" s="174"/>
    </row>
    <row r="277">
      <c r="C277" s="382"/>
      <c r="I277" s="174"/>
    </row>
    <row r="278">
      <c r="C278" s="382"/>
      <c r="I278" s="174"/>
    </row>
    <row r="279">
      <c r="C279" s="382"/>
      <c r="I279" s="174"/>
    </row>
    <row r="280">
      <c r="C280" s="382"/>
      <c r="I280" s="174"/>
    </row>
    <row r="281">
      <c r="C281" s="382"/>
      <c r="I281" s="174"/>
    </row>
    <row r="282">
      <c r="C282" s="382"/>
      <c r="I282" s="174"/>
    </row>
    <row r="283">
      <c r="C283" s="382"/>
      <c r="I283" s="174"/>
    </row>
    <row r="284">
      <c r="C284" s="382"/>
      <c r="I284" s="174"/>
    </row>
    <row r="285">
      <c r="C285" s="382"/>
      <c r="I285" s="174"/>
    </row>
    <row r="286">
      <c r="C286" s="382"/>
      <c r="I286" s="174"/>
    </row>
    <row r="287">
      <c r="C287" s="382"/>
      <c r="I287" s="174"/>
    </row>
    <row r="288">
      <c r="C288" s="382"/>
      <c r="I288" s="174"/>
    </row>
    <row r="289">
      <c r="C289" s="382"/>
      <c r="I289" s="174"/>
    </row>
    <row r="290">
      <c r="C290" s="382"/>
      <c r="I290" s="174"/>
    </row>
    <row r="291">
      <c r="C291" s="382"/>
      <c r="I291" s="174"/>
    </row>
    <row r="292">
      <c r="C292" s="382"/>
      <c r="I292" s="174"/>
    </row>
    <row r="293">
      <c r="C293" s="382"/>
      <c r="I293" s="174"/>
    </row>
    <row r="294">
      <c r="C294" s="382"/>
      <c r="I294" s="174"/>
    </row>
    <row r="295">
      <c r="C295" s="382"/>
      <c r="I295" s="174"/>
    </row>
    <row r="296">
      <c r="C296" s="382"/>
      <c r="I296" s="174"/>
    </row>
    <row r="297">
      <c r="C297" s="382"/>
      <c r="I297" s="174"/>
    </row>
    <row r="298">
      <c r="C298" s="382"/>
      <c r="I298" s="174"/>
    </row>
    <row r="299">
      <c r="C299" s="382"/>
      <c r="I299" s="174"/>
    </row>
    <row r="300">
      <c r="C300" s="382"/>
      <c r="I300" s="174"/>
    </row>
    <row r="301">
      <c r="C301" s="382"/>
      <c r="I301" s="174"/>
    </row>
    <row r="302">
      <c r="C302" s="382"/>
      <c r="I302" s="174"/>
    </row>
    <row r="303">
      <c r="C303" s="382"/>
      <c r="I303" s="174"/>
    </row>
    <row r="304">
      <c r="C304" s="382"/>
      <c r="I304" s="174"/>
    </row>
    <row r="305">
      <c r="C305" s="382"/>
      <c r="I305" s="174"/>
    </row>
    <row r="306">
      <c r="C306" s="382"/>
      <c r="I306" s="174"/>
    </row>
    <row r="307">
      <c r="C307" s="382"/>
      <c r="I307" s="174"/>
    </row>
    <row r="308">
      <c r="C308" s="382"/>
      <c r="I308" s="174"/>
    </row>
    <row r="309">
      <c r="C309" s="382"/>
      <c r="I309" s="174"/>
    </row>
    <row r="310">
      <c r="C310" s="382"/>
      <c r="I310" s="174"/>
    </row>
    <row r="311">
      <c r="C311" s="382"/>
      <c r="I311" s="174"/>
    </row>
    <row r="312">
      <c r="C312" s="382"/>
      <c r="I312" s="174"/>
    </row>
    <row r="313">
      <c r="C313" s="382"/>
      <c r="I313" s="174"/>
    </row>
    <row r="314">
      <c r="C314" s="382"/>
      <c r="I314" s="174"/>
    </row>
    <row r="315">
      <c r="C315" s="382"/>
      <c r="I315" s="174"/>
    </row>
    <row r="316">
      <c r="C316" s="382"/>
      <c r="I316" s="174"/>
    </row>
    <row r="317">
      <c r="C317" s="382"/>
      <c r="I317" s="174"/>
    </row>
    <row r="318">
      <c r="C318" s="382"/>
      <c r="I318" s="174"/>
    </row>
    <row r="319">
      <c r="C319" s="382"/>
      <c r="I319" s="174"/>
    </row>
    <row r="320">
      <c r="C320" s="382"/>
      <c r="I320" s="174"/>
    </row>
    <row r="321">
      <c r="C321" s="382"/>
      <c r="I321" s="174"/>
    </row>
    <row r="322">
      <c r="C322" s="382"/>
      <c r="I322" s="174"/>
    </row>
    <row r="323">
      <c r="C323" s="382"/>
      <c r="I323" s="174"/>
    </row>
    <row r="324">
      <c r="C324" s="382"/>
      <c r="I324" s="174"/>
    </row>
    <row r="325">
      <c r="C325" s="382"/>
      <c r="I325" s="174"/>
    </row>
    <row r="326">
      <c r="C326" s="382"/>
      <c r="I326" s="174"/>
    </row>
    <row r="327">
      <c r="C327" s="382"/>
      <c r="I327" s="174"/>
    </row>
    <row r="328">
      <c r="C328" s="382"/>
      <c r="I328" s="174"/>
    </row>
    <row r="329">
      <c r="C329" s="382"/>
      <c r="I329" s="174"/>
    </row>
    <row r="330">
      <c r="C330" s="382"/>
      <c r="I330" s="174"/>
    </row>
    <row r="331">
      <c r="C331" s="382"/>
      <c r="I331" s="174"/>
    </row>
    <row r="332">
      <c r="C332" s="382"/>
      <c r="I332" s="174"/>
    </row>
    <row r="333">
      <c r="C333" s="382"/>
      <c r="I333" s="174"/>
    </row>
    <row r="334">
      <c r="C334" s="382"/>
      <c r="I334" s="174"/>
    </row>
    <row r="335">
      <c r="C335" s="382"/>
      <c r="I335" s="174"/>
    </row>
    <row r="336">
      <c r="C336" s="382"/>
      <c r="I336" s="174"/>
    </row>
    <row r="337">
      <c r="C337" s="382"/>
      <c r="I337" s="174"/>
    </row>
    <row r="338">
      <c r="C338" s="382"/>
      <c r="I338" s="174"/>
    </row>
    <row r="339">
      <c r="C339" s="382"/>
      <c r="I339" s="174"/>
    </row>
    <row r="340">
      <c r="C340" s="382"/>
      <c r="I340" s="174"/>
    </row>
    <row r="341">
      <c r="C341" s="382"/>
      <c r="I341" s="174"/>
    </row>
    <row r="342">
      <c r="C342" s="382"/>
      <c r="I342" s="174"/>
    </row>
    <row r="343">
      <c r="C343" s="382"/>
      <c r="I343" s="174"/>
    </row>
    <row r="344">
      <c r="C344" s="382"/>
      <c r="I344" s="174"/>
    </row>
    <row r="345">
      <c r="C345" s="382"/>
      <c r="I345" s="174"/>
    </row>
    <row r="346">
      <c r="C346" s="382"/>
      <c r="I346" s="174"/>
    </row>
    <row r="347">
      <c r="C347" s="382"/>
      <c r="I347" s="174"/>
    </row>
    <row r="348">
      <c r="C348" s="382"/>
      <c r="I348" s="174"/>
    </row>
    <row r="349">
      <c r="C349" s="382"/>
      <c r="I349" s="174"/>
    </row>
    <row r="350">
      <c r="C350" s="382"/>
      <c r="I350" s="174"/>
    </row>
    <row r="351">
      <c r="C351" s="382"/>
      <c r="I351" s="174"/>
    </row>
    <row r="352">
      <c r="C352" s="382"/>
      <c r="I352" s="174"/>
    </row>
    <row r="353">
      <c r="C353" s="382"/>
      <c r="I353" s="174"/>
    </row>
    <row r="354">
      <c r="C354" s="382"/>
      <c r="I354" s="174"/>
    </row>
    <row r="355">
      <c r="C355" s="382"/>
      <c r="I355" s="174"/>
    </row>
    <row r="356">
      <c r="C356" s="382"/>
      <c r="I356" s="174"/>
    </row>
    <row r="357">
      <c r="C357" s="382"/>
      <c r="I357" s="174"/>
    </row>
    <row r="358">
      <c r="C358" s="382"/>
      <c r="I358" s="174"/>
    </row>
    <row r="359">
      <c r="C359" s="382"/>
      <c r="I359" s="174"/>
    </row>
    <row r="360">
      <c r="C360" s="382"/>
      <c r="I360" s="174"/>
    </row>
    <row r="361">
      <c r="C361" s="382"/>
      <c r="I361" s="174"/>
    </row>
    <row r="362">
      <c r="C362" s="382"/>
      <c r="I362" s="174"/>
    </row>
    <row r="363">
      <c r="C363" s="382"/>
      <c r="I363" s="174"/>
    </row>
    <row r="364">
      <c r="C364" s="382"/>
      <c r="I364" s="174"/>
    </row>
    <row r="365">
      <c r="C365" s="382"/>
      <c r="I365" s="174"/>
    </row>
    <row r="366">
      <c r="C366" s="382"/>
      <c r="I366" s="174"/>
    </row>
    <row r="367">
      <c r="C367" s="382"/>
      <c r="I367" s="174"/>
    </row>
    <row r="368">
      <c r="C368" s="382"/>
      <c r="I368" s="174"/>
    </row>
    <row r="369">
      <c r="C369" s="382"/>
      <c r="I369" s="174"/>
    </row>
    <row r="370">
      <c r="C370" s="382"/>
      <c r="I370" s="174"/>
    </row>
    <row r="371">
      <c r="C371" s="382"/>
      <c r="I371" s="174"/>
    </row>
    <row r="372">
      <c r="C372" s="382"/>
      <c r="I372" s="174"/>
    </row>
    <row r="373">
      <c r="C373" s="382"/>
      <c r="I373" s="174"/>
    </row>
    <row r="374">
      <c r="C374" s="382"/>
      <c r="I374" s="174"/>
    </row>
    <row r="375">
      <c r="C375" s="382"/>
      <c r="I375" s="174"/>
    </row>
    <row r="376">
      <c r="C376" s="382"/>
      <c r="I376" s="174"/>
    </row>
    <row r="377">
      <c r="C377" s="382"/>
      <c r="I377" s="174"/>
    </row>
    <row r="378">
      <c r="C378" s="382"/>
      <c r="I378" s="174"/>
    </row>
    <row r="379">
      <c r="C379" s="382"/>
      <c r="I379" s="174"/>
    </row>
    <row r="380">
      <c r="C380" s="382"/>
      <c r="I380" s="174"/>
    </row>
    <row r="381">
      <c r="C381" s="382"/>
      <c r="I381" s="174"/>
    </row>
    <row r="382">
      <c r="C382" s="382"/>
      <c r="I382" s="174"/>
    </row>
    <row r="383">
      <c r="C383" s="382"/>
      <c r="I383" s="174"/>
    </row>
    <row r="384">
      <c r="C384" s="382"/>
      <c r="I384" s="174"/>
    </row>
    <row r="385">
      <c r="C385" s="382"/>
      <c r="I385" s="174"/>
    </row>
    <row r="386">
      <c r="C386" s="382"/>
      <c r="I386" s="174"/>
    </row>
    <row r="387">
      <c r="C387" s="382"/>
      <c r="I387" s="174"/>
    </row>
    <row r="388">
      <c r="C388" s="382"/>
      <c r="I388" s="174"/>
    </row>
    <row r="389">
      <c r="C389" s="382"/>
      <c r="I389" s="174"/>
    </row>
    <row r="390">
      <c r="C390" s="382"/>
      <c r="I390" s="174"/>
    </row>
    <row r="391">
      <c r="C391" s="382"/>
      <c r="I391" s="174"/>
    </row>
    <row r="392">
      <c r="C392" s="382"/>
      <c r="I392" s="174"/>
    </row>
    <row r="393">
      <c r="C393" s="382"/>
      <c r="I393" s="174"/>
    </row>
    <row r="394">
      <c r="C394" s="382"/>
      <c r="I394" s="174"/>
    </row>
    <row r="395">
      <c r="C395" s="382"/>
      <c r="I395" s="174"/>
    </row>
    <row r="396">
      <c r="C396" s="382"/>
      <c r="I396" s="174"/>
    </row>
    <row r="397">
      <c r="C397" s="382"/>
      <c r="I397" s="174"/>
    </row>
    <row r="398">
      <c r="C398" s="382"/>
      <c r="I398" s="174"/>
    </row>
    <row r="399">
      <c r="C399" s="382"/>
      <c r="I399" s="174"/>
    </row>
    <row r="400">
      <c r="C400" s="382"/>
      <c r="I400" s="174"/>
    </row>
    <row r="401">
      <c r="C401" s="382"/>
      <c r="I401" s="174"/>
    </row>
    <row r="402">
      <c r="C402" s="382"/>
      <c r="I402" s="174"/>
    </row>
    <row r="403">
      <c r="C403" s="382"/>
      <c r="I403" s="174"/>
    </row>
    <row r="404">
      <c r="C404" s="382"/>
      <c r="I404" s="174"/>
    </row>
    <row r="405">
      <c r="C405" s="382"/>
      <c r="I405" s="174"/>
    </row>
    <row r="406">
      <c r="C406" s="382"/>
      <c r="I406" s="174"/>
    </row>
    <row r="407">
      <c r="C407" s="382"/>
      <c r="I407" s="174"/>
    </row>
    <row r="408">
      <c r="C408" s="382"/>
      <c r="I408" s="174"/>
    </row>
    <row r="409">
      <c r="C409" s="382"/>
      <c r="I409" s="174"/>
    </row>
    <row r="410">
      <c r="C410" s="382"/>
      <c r="I410" s="174"/>
    </row>
    <row r="411">
      <c r="C411" s="382"/>
      <c r="I411" s="174"/>
    </row>
    <row r="412">
      <c r="C412" s="382"/>
      <c r="I412" s="174"/>
    </row>
    <row r="413">
      <c r="C413" s="382"/>
      <c r="I413" s="174"/>
    </row>
    <row r="414">
      <c r="C414" s="382"/>
      <c r="I414" s="174"/>
    </row>
    <row r="415">
      <c r="C415" s="382"/>
      <c r="I415" s="174"/>
    </row>
    <row r="416">
      <c r="C416" s="382"/>
      <c r="I416" s="174"/>
    </row>
    <row r="417">
      <c r="C417" s="382"/>
      <c r="I417" s="174"/>
    </row>
    <row r="418">
      <c r="C418" s="382"/>
      <c r="I418" s="174"/>
    </row>
    <row r="419">
      <c r="C419" s="382"/>
      <c r="I419" s="174"/>
    </row>
    <row r="420">
      <c r="C420" s="382"/>
      <c r="I420" s="174"/>
    </row>
    <row r="421">
      <c r="C421" s="382"/>
      <c r="I421" s="174"/>
    </row>
    <row r="422">
      <c r="C422" s="382"/>
      <c r="I422" s="174"/>
    </row>
    <row r="423">
      <c r="C423" s="382"/>
      <c r="I423" s="174"/>
    </row>
    <row r="424">
      <c r="C424" s="382"/>
      <c r="I424" s="174"/>
    </row>
    <row r="425">
      <c r="C425" s="382"/>
      <c r="I425" s="174"/>
    </row>
    <row r="426">
      <c r="C426" s="382"/>
      <c r="I426" s="174"/>
    </row>
    <row r="427">
      <c r="C427" s="382"/>
      <c r="I427" s="174"/>
    </row>
    <row r="428">
      <c r="C428" s="382"/>
      <c r="I428" s="174"/>
    </row>
    <row r="429">
      <c r="C429" s="382"/>
      <c r="I429" s="174"/>
    </row>
    <row r="430">
      <c r="C430" s="382"/>
      <c r="I430" s="174"/>
    </row>
    <row r="431">
      <c r="C431" s="382"/>
      <c r="I431" s="174"/>
    </row>
    <row r="432">
      <c r="C432" s="382"/>
      <c r="I432" s="174"/>
    </row>
    <row r="433">
      <c r="C433" s="382"/>
      <c r="I433" s="174"/>
    </row>
    <row r="434">
      <c r="C434" s="382"/>
      <c r="I434" s="174"/>
    </row>
    <row r="435">
      <c r="C435" s="382"/>
      <c r="I435" s="174"/>
    </row>
    <row r="436">
      <c r="C436" s="382"/>
      <c r="I436" s="174"/>
    </row>
    <row r="437">
      <c r="C437" s="382"/>
      <c r="I437" s="174"/>
    </row>
    <row r="438">
      <c r="C438" s="382"/>
      <c r="I438" s="174"/>
    </row>
    <row r="439">
      <c r="C439" s="382"/>
      <c r="I439" s="174"/>
    </row>
    <row r="440">
      <c r="C440" s="382"/>
      <c r="I440" s="174"/>
    </row>
    <row r="441">
      <c r="C441" s="382"/>
      <c r="I441" s="174"/>
    </row>
    <row r="442">
      <c r="C442" s="382"/>
      <c r="I442" s="174"/>
    </row>
    <row r="443">
      <c r="C443" s="382"/>
      <c r="I443" s="174"/>
    </row>
    <row r="444">
      <c r="C444" s="382"/>
      <c r="I444" s="174"/>
    </row>
    <row r="445">
      <c r="C445" s="382"/>
      <c r="I445" s="174"/>
    </row>
    <row r="446">
      <c r="C446" s="382"/>
      <c r="I446" s="174"/>
    </row>
    <row r="447">
      <c r="C447" s="382"/>
      <c r="I447" s="174"/>
    </row>
    <row r="448">
      <c r="C448" s="382"/>
      <c r="I448" s="174"/>
    </row>
    <row r="449">
      <c r="C449" s="382"/>
      <c r="I449" s="174"/>
    </row>
    <row r="450">
      <c r="C450" s="382"/>
      <c r="I450" s="174"/>
    </row>
    <row r="451">
      <c r="C451" s="382"/>
      <c r="I451" s="174"/>
    </row>
    <row r="452">
      <c r="C452" s="382"/>
      <c r="I452" s="174"/>
    </row>
    <row r="453">
      <c r="C453" s="382"/>
      <c r="I453" s="174"/>
    </row>
    <row r="454">
      <c r="C454" s="382"/>
      <c r="I454" s="174"/>
    </row>
    <row r="455">
      <c r="C455" s="382"/>
      <c r="I455" s="174"/>
    </row>
    <row r="456">
      <c r="C456" s="382"/>
      <c r="I456" s="174"/>
    </row>
    <row r="457">
      <c r="C457" s="382"/>
      <c r="I457" s="174"/>
    </row>
    <row r="458">
      <c r="C458" s="382"/>
      <c r="I458" s="174"/>
    </row>
    <row r="459">
      <c r="C459" s="382"/>
      <c r="I459" s="174"/>
    </row>
    <row r="460">
      <c r="C460" s="382"/>
      <c r="I460" s="174"/>
    </row>
    <row r="461">
      <c r="C461" s="382"/>
      <c r="I461" s="174"/>
    </row>
    <row r="462">
      <c r="C462" s="382"/>
      <c r="I462" s="174"/>
    </row>
    <row r="463">
      <c r="C463" s="382"/>
      <c r="I463" s="174"/>
    </row>
    <row r="464">
      <c r="C464" s="382"/>
      <c r="I464" s="174"/>
    </row>
    <row r="465">
      <c r="C465" s="382"/>
      <c r="I465" s="174"/>
    </row>
    <row r="466">
      <c r="C466" s="382"/>
      <c r="I466" s="174"/>
    </row>
    <row r="467">
      <c r="C467" s="382"/>
      <c r="I467" s="174"/>
    </row>
    <row r="468">
      <c r="C468" s="382"/>
      <c r="I468" s="174"/>
    </row>
    <row r="469">
      <c r="C469" s="382"/>
      <c r="I469" s="174"/>
    </row>
    <row r="470">
      <c r="C470" s="382"/>
      <c r="I470" s="174"/>
    </row>
    <row r="471">
      <c r="C471" s="382"/>
      <c r="I471" s="174"/>
    </row>
    <row r="472">
      <c r="C472" s="382"/>
      <c r="I472" s="174"/>
    </row>
    <row r="473">
      <c r="C473" s="382"/>
      <c r="I473" s="174"/>
    </row>
    <row r="474">
      <c r="C474" s="382"/>
      <c r="I474" s="174"/>
    </row>
    <row r="475">
      <c r="C475" s="382"/>
      <c r="I475" s="174"/>
    </row>
    <row r="476">
      <c r="C476" s="382"/>
      <c r="I476" s="174"/>
    </row>
    <row r="477">
      <c r="C477" s="382"/>
      <c r="I477" s="174"/>
    </row>
    <row r="478">
      <c r="C478" s="382"/>
      <c r="I478" s="174"/>
    </row>
    <row r="479">
      <c r="C479" s="382"/>
      <c r="I479" s="174"/>
    </row>
    <row r="480">
      <c r="C480" s="382"/>
      <c r="I480" s="174"/>
    </row>
    <row r="481">
      <c r="C481" s="382"/>
      <c r="I481" s="174"/>
    </row>
    <row r="482">
      <c r="C482" s="382"/>
      <c r="I482" s="174"/>
    </row>
    <row r="483">
      <c r="C483" s="382"/>
      <c r="I483" s="174"/>
    </row>
    <row r="484">
      <c r="C484" s="382"/>
      <c r="I484" s="174"/>
    </row>
    <row r="485">
      <c r="C485" s="382"/>
      <c r="I485" s="174"/>
    </row>
    <row r="486">
      <c r="C486" s="382"/>
      <c r="I486" s="174"/>
    </row>
    <row r="487">
      <c r="C487" s="382"/>
      <c r="I487" s="174"/>
    </row>
    <row r="488">
      <c r="C488" s="382"/>
      <c r="I488" s="174"/>
    </row>
    <row r="489">
      <c r="C489" s="382"/>
      <c r="I489" s="174"/>
    </row>
    <row r="490">
      <c r="C490" s="382"/>
      <c r="I490" s="174"/>
    </row>
    <row r="491">
      <c r="C491" s="382"/>
      <c r="I491" s="174"/>
    </row>
    <row r="492">
      <c r="C492" s="382"/>
      <c r="I492" s="174"/>
    </row>
    <row r="493">
      <c r="C493" s="382"/>
      <c r="I493" s="174"/>
    </row>
    <row r="494">
      <c r="C494" s="382"/>
      <c r="I494" s="174"/>
    </row>
    <row r="495">
      <c r="C495" s="382"/>
      <c r="I495" s="174"/>
    </row>
    <row r="496">
      <c r="C496" s="382"/>
      <c r="I496" s="174"/>
    </row>
    <row r="497">
      <c r="C497" s="382"/>
      <c r="I497" s="174"/>
    </row>
    <row r="498">
      <c r="C498" s="382"/>
      <c r="I498" s="174"/>
    </row>
    <row r="499">
      <c r="C499" s="382"/>
      <c r="I499" s="174"/>
    </row>
    <row r="500">
      <c r="C500" s="382"/>
      <c r="I500" s="174"/>
    </row>
    <row r="501">
      <c r="C501" s="382"/>
      <c r="I501" s="174"/>
    </row>
    <row r="502">
      <c r="C502" s="382"/>
      <c r="I502" s="174"/>
    </row>
    <row r="503">
      <c r="C503" s="382"/>
      <c r="I503" s="174"/>
    </row>
    <row r="504">
      <c r="C504" s="382"/>
      <c r="I504" s="174"/>
    </row>
    <row r="505">
      <c r="C505" s="382"/>
      <c r="I505" s="174"/>
    </row>
    <row r="506">
      <c r="C506" s="382"/>
      <c r="I506" s="174"/>
    </row>
    <row r="507">
      <c r="C507" s="382"/>
      <c r="I507" s="174"/>
    </row>
    <row r="508">
      <c r="C508" s="382"/>
      <c r="I508" s="174"/>
    </row>
    <row r="509">
      <c r="C509" s="382"/>
      <c r="I509" s="174"/>
    </row>
    <row r="510">
      <c r="C510" s="382"/>
      <c r="I510" s="174"/>
    </row>
    <row r="511">
      <c r="C511" s="382"/>
      <c r="I511" s="174"/>
    </row>
    <row r="512">
      <c r="C512" s="382"/>
      <c r="I512" s="174"/>
    </row>
    <row r="513">
      <c r="C513" s="382"/>
      <c r="I513" s="174"/>
    </row>
    <row r="514">
      <c r="C514" s="382"/>
      <c r="I514" s="174"/>
    </row>
    <row r="515">
      <c r="C515" s="382"/>
      <c r="I515" s="174"/>
    </row>
    <row r="516">
      <c r="C516" s="382"/>
      <c r="I516" s="174"/>
    </row>
    <row r="517">
      <c r="C517" s="382"/>
      <c r="I517" s="174"/>
    </row>
    <row r="518">
      <c r="C518" s="382"/>
      <c r="I518" s="174"/>
    </row>
    <row r="519">
      <c r="C519" s="382"/>
      <c r="I519" s="174"/>
    </row>
    <row r="520">
      <c r="C520" s="382"/>
      <c r="I520" s="174"/>
    </row>
    <row r="521">
      <c r="C521" s="382"/>
      <c r="I521" s="174"/>
    </row>
    <row r="522">
      <c r="C522" s="382"/>
      <c r="I522" s="174"/>
    </row>
    <row r="523">
      <c r="C523" s="382"/>
      <c r="I523" s="174"/>
    </row>
    <row r="524">
      <c r="C524" s="382"/>
      <c r="I524" s="174"/>
    </row>
    <row r="525">
      <c r="C525" s="382"/>
      <c r="I525" s="174"/>
    </row>
    <row r="526">
      <c r="C526" s="382"/>
      <c r="I526" s="174"/>
    </row>
    <row r="527">
      <c r="C527" s="382"/>
      <c r="I527" s="174"/>
    </row>
    <row r="528">
      <c r="C528" s="382"/>
      <c r="I528" s="174"/>
    </row>
    <row r="529">
      <c r="C529" s="382"/>
      <c r="I529" s="174"/>
    </row>
    <row r="530">
      <c r="C530" s="382"/>
      <c r="I530" s="174"/>
    </row>
    <row r="531">
      <c r="C531" s="382"/>
      <c r="I531" s="174"/>
    </row>
    <row r="532">
      <c r="C532" s="382"/>
      <c r="I532" s="174"/>
    </row>
    <row r="533">
      <c r="C533" s="382"/>
      <c r="I533" s="174"/>
    </row>
    <row r="534">
      <c r="C534" s="382"/>
      <c r="I534" s="174"/>
    </row>
    <row r="535">
      <c r="C535" s="382"/>
      <c r="I535" s="174"/>
    </row>
    <row r="536">
      <c r="C536" s="382"/>
      <c r="I536" s="174"/>
    </row>
    <row r="537">
      <c r="C537" s="382"/>
      <c r="I537" s="174"/>
    </row>
    <row r="538">
      <c r="C538" s="382"/>
      <c r="I538" s="174"/>
    </row>
    <row r="539">
      <c r="C539" s="382"/>
      <c r="I539" s="174"/>
    </row>
    <row r="540">
      <c r="C540" s="382"/>
      <c r="I540" s="174"/>
    </row>
    <row r="541">
      <c r="C541" s="382"/>
      <c r="I541" s="174"/>
    </row>
    <row r="542">
      <c r="C542" s="382"/>
      <c r="I542" s="174"/>
    </row>
    <row r="543">
      <c r="C543" s="382"/>
      <c r="I543" s="174"/>
    </row>
    <row r="544">
      <c r="C544" s="382"/>
      <c r="I544" s="174"/>
    </row>
    <row r="545">
      <c r="C545" s="382"/>
      <c r="I545" s="174"/>
    </row>
    <row r="546">
      <c r="C546" s="382"/>
      <c r="I546" s="174"/>
    </row>
    <row r="547">
      <c r="C547" s="382"/>
      <c r="I547" s="174"/>
    </row>
    <row r="548">
      <c r="C548" s="382"/>
      <c r="I548" s="174"/>
    </row>
    <row r="549">
      <c r="C549" s="382"/>
      <c r="I549" s="174"/>
    </row>
    <row r="550">
      <c r="C550" s="382"/>
      <c r="I550" s="174"/>
    </row>
    <row r="551">
      <c r="C551" s="382"/>
      <c r="I551" s="174"/>
    </row>
    <row r="552">
      <c r="C552" s="382"/>
      <c r="I552" s="174"/>
    </row>
    <row r="553">
      <c r="C553" s="382"/>
      <c r="I553" s="174"/>
    </row>
    <row r="554">
      <c r="C554" s="382"/>
      <c r="I554" s="174"/>
    </row>
    <row r="555">
      <c r="C555" s="382"/>
      <c r="I555" s="174"/>
    </row>
    <row r="556">
      <c r="C556" s="382"/>
      <c r="I556" s="174"/>
    </row>
    <row r="557">
      <c r="C557" s="382"/>
      <c r="I557" s="174"/>
    </row>
    <row r="558">
      <c r="C558" s="382"/>
      <c r="I558" s="174"/>
    </row>
    <row r="559">
      <c r="C559" s="382"/>
      <c r="I559" s="174"/>
    </row>
    <row r="560">
      <c r="C560" s="382"/>
      <c r="I560" s="174"/>
    </row>
    <row r="561">
      <c r="C561" s="382"/>
      <c r="I561" s="174"/>
    </row>
    <row r="562">
      <c r="C562" s="382"/>
      <c r="I562" s="174"/>
    </row>
    <row r="563">
      <c r="C563" s="382"/>
      <c r="I563" s="174"/>
    </row>
    <row r="564">
      <c r="C564" s="382"/>
      <c r="I564" s="174"/>
    </row>
    <row r="565">
      <c r="C565" s="382"/>
      <c r="I565" s="174"/>
    </row>
    <row r="566">
      <c r="C566" s="382"/>
      <c r="I566" s="174"/>
    </row>
    <row r="567">
      <c r="C567" s="382"/>
      <c r="I567" s="174"/>
    </row>
    <row r="568">
      <c r="C568" s="382"/>
      <c r="I568" s="174"/>
    </row>
    <row r="569">
      <c r="C569" s="382"/>
      <c r="I569" s="174"/>
    </row>
    <row r="570">
      <c r="C570" s="382"/>
      <c r="I570" s="174"/>
    </row>
    <row r="571">
      <c r="C571" s="382"/>
      <c r="I571" s="174"/>
    </row>
    <row r="572">
      <c r="C572" s="382"/>
      <c r="I572" s="174"/>
    </row>
    <row r="573">
      <c r="C573" s="382"/>
      <c r="I573" s="174"/>
    </row>
    <row r="574">
      <c r="C574" s="382"/>
      <c r="I574" s="174"/>
    </row>
    <row r="575">
      <c r="C575" s="382"/>
      <c r="I575" s="174"/>
    </row>
    <row r="576">
      <c r="C576" s="382"/>
      <c r="I576" s="174"/>
    </row>
    <row r="577">
      <c r="C577" s="382"/>
      <c r="I577" s="174"/>
    </row>
    <row r="578">
      <c r="C578" s="382"/>
      <c r="I578" s="174"/>
    </row>
    <row r="579">
      <c r="C579" s="382"/>
      <c r="I579" s="174"/>
    </row>
    <row r="580">
      <c r="C580" s="382"/>
      <c r="I580" s="174"/>
    </row>
    <row r="581">
      <c r="C581" s="382"/>
      <c r="I581" s="174"/>
    </row>
    <row r="582">
      <c r="C582" s="382"/>
      <c r="I582" s="174"/>
    </row>
    <row r="583">
      <c r="C583" s="382"/>
      <c r="I583" s="174"/>
    </row>
    <row r="584">
      <c r="C584" s="382"/>
      <c r="I584" s="174"/>
    </row>
    <row r="585">
      <c r="C585" s="382"/>
      <c r="I585" s="174"/>
    </row>
    <row r="586">
      <c r="C586" s="382"/>
      <c r="I586" s="174"/>
    </row>
    <row r="587">
      <c r="C587" s="382"/>
      <c r="I587" s="174"/>
    </row>
    <row r="588">
      <c r="C588" s="382"/>
      <c r="I588" s="174"/>
    </row>
    <row r="589">
      <c r="C589" s="382"/>
      <c r="I589" s="174"/>
    </row>
    <row r="590">
      <c r="C590" s="382"/>
      <c r="I590" s="174"/>
    </row>
    <row r="591">
      <c r="C591" s="382"/>
      <c r="I591" s="174"/>
    </row>
    <row r="592">
      <c r="C592" s="382"/>
      <c r="I592" s="174"/>
    </row>
    <row r="593">
      <c r="C593" s="382"/>
      <c r="I593" s="174"/>
    </row>
    <row r="594">
      <c r="C594" s="382"/>
      <c r="I594" s="174"/>
    </row>
    <row r="595">
      <c r="C595" s="382"/>
      <c r="I595" s="174"/>
    </row>
    <row r="596">
      <c r="C596" s="382"/>
      <c r="I596" s="174"/>
    </row>
    <row r="597">
      <c r="C597" s="382"/>
      <c r="I597" s="174"/>
    </row>
    <row r="598">
      <c r="C598" s="382"/>
      <c r="I598" s="174"/>
    </row>
    <row r="599">
      <c r="C599" s="382"/>
      <c r="I599" s="174"/>
    </row>
    <row r="600">
      <c r="C600" s="382"/>
      <c r="I600" s="174"/>
    </row>
    <row r="601">
      <c r="C601" s="382"/>
      <c r="I601" s="174"/>
    </row>
    <row r="602">
      <c r="C602" s="382"/>
      <c r="I602" s="174"/>
    </row>
    <row r="603">
      <c r="C603" s="382"/>
      <c r="I603" s="174"/>
    </row>
    <row r="604">
      <c r="C604" s="382"/>
      <c r="I604" s="174"/>
    </row>
    <row r="605">
      <c r="C605" s="382"/>
      <c r="I605" s="174"/>
    </row>
    <row r="606">
      <c r="C606" s="382"/>
      <c r="I606" s="174"/>
    </row>
    <row r="607">
      <c r="C607" s="382"/>
      <c r="I607" s="174"/>
    </row>
    <row r="608">
      <c r="C608" s="382"/>
      <c r="I608" s="174"/>
    </row>
    <row r="609">
      <c r="C609" s="382"/>
      <c r="I609" s="174"/>
    </row>
    <row r="610">
      <c r="C610" s="382"/>
      <c r="I610" s="174"/>
    </row>
    <row r="611">
      <c r="C611" s="382"/>
      <c r="I611" s="174"/>
    </row>
    <row r="612">
      <c r="C612" s="382"/>
      <c r="I612" s="174"/>
    </row>
    <row r="613">
      <c r="C613" s="382"/>
      <c r="I613" s="174"/>
    </row>
    <row r="614">
      <c r="C614" s="382"/>
      <c r="I614" s="174"/>
    </row>
    <row r="615">
      <c r="C615" s="382"/>
      <c r="I615" s="174"/>
    </row>
    <row r="616">
      <c r="C616" s="382"/>
      <c r="I616" s="174"/>
    </row>
    <row r="617">
      <c r="C617" s="382"/>
      <c r="I617" s="174"/>
    </row>
    <row r="618">
      <c r="C618" s="382"/>
      <c r="I618" s="174"/>
    </row>
    <row r="619">
      <c r="C619" s="382"/>
      <c r="I619" s="174"/>
    </row>
    <row r="620">
      <c r="C620" s="382"/>
      <c r="I620" s="174"/>
    </row>
    <row r="621">
      <c r="C621" s="382"/>
      <c r="I621" s="174"/>
    </row>
    <row r="622">
      <c r="C622" s="382"/>
      <c r="I622" s="174"/>
    </row>
    <row r="623">
      <c r="C623" s="382"/>
      <c r="I623" s="174"/>
    </row>
    <row r="624">
      <c r="C624" s="382"/>
      <c r="I624" s="174"/>
    </row>
    <row r="625">
      <c r="C625" s="382"/>
      <c r="I625" s="174"/>
    </row>
    <row r="626">
      <c r="C626" s="382"/>
      <c r="I626" s="174"/>
    </row>
    <row r="627">
      <c r="C627" s="382"/>
      <c r="I627" s="174"/>
    </row>
    <row r="628">
      <c r="C628" s="382"/>
      <c r="I628" s="174"/>
    </row>
    <row r="629">
      <c r="C629" s="382"/>
      <c r="I629" s="174"/>
    </row>
    <row r="630">
      <c r="C630" s="382"/>
      <c r="I630" s="174"/>
    </row>
    <row r="631">
      <c r="C631" s="382"/>
      <c r="I631" s="174"/>
    </row>
    <row r="632">
      <c r="C632" s="382"/>
      <c r="I632" s="174"/>
    </row>
    <row r="633">
      <c r="C633" s="382"/>
      <c r="I633" s="174"/>
    </row>
    <row r="634">
      <c r="C634" s="382"/>
      <c r="I634" s="174"/>
    </row>
    <row r="635">
      <c r="C635" s="382"/>
      <c r="I635" s="174"/>
    </row>
    <row r="636">
      <c r="C636" s="382"/>
      <c r="I636" s="174"/>
    </row>
    <row r="637">
      <c r="C637" s="382"/>
      <c r="I637" s="174"/>
    </row>
    <row r="638">
      <c r="C638" s="382"/>
      <c r="I638" s="174"/>
    </row>
    <row r="639">
      <c r="C639" s="382"/>
      <c r="I639" s="174"/>
    </row>
    <row r="640">
      <c r="C640" s="382"/>
      <c r="I640" s="174"/>
    </row>
    <row r="641">
      <c r="C641" s="382"/>
      <c r="I641" s="174"/>
    </row>
    <row r="642">
      <c r="C642" s="382"/>
      <c r="I642" s="174"/>
    </row>
    <row r="643">
      <c r="C643" s="382"/>
      <c r="I643" s="174"/>
    </row>
    <row r="644">
      <c r="C644" s="382"/>
      <c r="I644" s="174"/>
    </row>
    <row r="645">
      <c r="C645" s="382"/>
      <c r="I645" s="174"/>
    </row>
    <row r="646">
      <c r="C646" s="382"/>
      <c r="I646" s="174"/>
    </row>
    <row r="647">
      <c r="C647" s="382"/>
      <c r="I647" s="174"/>
    </row>
    <row r="648">
      <c r="C648" s="382"/>
      <c r="I648" s="174"/>
    </row>
    <row r="649">
      <c r="C649" s="382"/>
      <c r="I649" s="174"/>
    </row>
    <row r="650">
      <c r="C650" s="382"/>
      <c r="I650" s="174"/>
    </row>
    <row r="651">
      <c r="C651" s="382"/>
      <c r="I651" s="174"/>
    </row>
    <row r="652">
      <c r="C652" s="382"/>
      <c r="I652" s="174"/>
    </row>
    <row r="653">
      <c r="C653" s="382"/>
      <c r="I653" s="174"/>
    </row>
    <row r="654">
      <c r="C654" s="382"/>
      <c r="I654" s="174"/>
    </row>
    <row r="655">
      <c r="C655" s="382"/>
      <c r="I655" s="174"/>
    </row>
    <row r="656">
      <c r="C656" s="382"/>
      <c r="I656" s="174"/>
    </row>
    <row r="657">
      <c r="C657" s="382"/>
      <c r="I657" s="174"/>
    </row>
    <row r="658">
      <c r="C658" s="382"/>
      <c r="I658" s="174"/>
    </row>
    <row r="659">
      <c r="C659" s="382"/>
      <c r="I659" s="174"/>
    </row>
    <row r="660">
      <c r="C660" s="382"/>
      <c r="I660" s="174"/>
    </row>
    <row r="661">
      <c r="C661" s="382"/>
      <c r="I661" s="174"/>
    </row>
    <row r="662">
      <c r="C662" s="382"/>
      <c r="I662" s="174"/>
    </row>
    <row r="663">
      <c r="C663" s="382"/>
      <c r="I663" s="174"/>
    </row>
    <row r="664">
      <c r="C664" s="382"/>
      <c r="I664" s="174"/>
    </row>
    <row r="665">
      <c r="C665" s="382"/>
      <c r="I665" s="174"/>
    </row>
    <row r="666">
      <c r="C666" s="382"/>
      <c r="I666" s="174"/>
    </row>
    <row r="667">
      <c r="C667" s="382"/>
      <c r="I667" s="174"/>
    </row>
    <row r="668">
      <c r="C668" s="382"/>
      <c r="I668" s="174"/>
    </row>
    <row r="669">
      <c r="C669" s="382"/>
      <c r="I669" s="174"/>
    </row>
    <row r="670">
      <c r="C670" s="382"/>
      <c r="I670" s="174"/>
    </row>
    <row r="671">
      <c r="C671" s="382"/>
      <c r="I671" s="174"/>
    </row>
    <row r="672">
      <c r="C672" s="382"/>
      <c r="I672" s="174"/>
    </row>
    <row r="673">
      <c r="C673" s="382"/>
      <c r="I673" s="174"/>
    </row>
    <row r="674">
      <c r="C674" s="382"/>
      <c r="I674" s="174"/>
    </row>
    <row r="675">
      <c r="C675" s="382"/>
      <c r="I675" s="174"/>
    </row>
    <row r="676">
      <c r="C676" s="382"/>
      <c r="I676" s="174"/>
    </row>
    <row r="677">
      <c r="C677" s="382"/>
      <c r="I677" s="174"/>
    </row>
    <row r="678">
      <c r="C678" s="382"/>
      <c r="I678" s="174"/>
    </row>
    <row r="679">
      <c r="C679" s="382"/>
      <c r="I679" s="174"/>
    </row>
    <row r="680">
      <c r="C680" s="382"/>
      <c r="I680" s="174"/>
    </row>
    <row r="681">
      <c r="C681" s="382"/>
      <c r="I681" s="174"/>
    </row>
    <row r="682">
      <c r="C682" s="382"/>
      <c r="I682" s="174"/>
    </row>
    <row r="683">
      <c r="C683" s="382"/>
      <c r="I683" s="174"/>
    </row>
    <row r="684">
      <c r="C684" s="382"/>
      <c r="I684" s="174"/>
    </row>
    <row r="685">
      <c r="C685" s="382"/>
      <c r="I685" s="174"/>
    </row>
    <row r="686">
      <c r="C686" s="382"/>
      <c r="I686" s="174"/>
    </row>
    <row r="687">
      <c r="C687" s="382"/>
      <c r="I687" s="174"/>
    </row>
    <row r="688">
      <c r="C688" s="382"/>
      <c r="I688" s="174"/>
    </row>
    <row r="689">
      <c r="C689" s="382"/>
      <c r="I689" s="174"/>
    </row>
    <row r="690">
      <c r="C690" s="382"/>
      <c r="I690" s="174"/>
    </row>
    <row r="691">
      <c r="C691" s="382"/>
      <c r="I691" s="174"/>
    </row>
    <row r="692">
      <c r="C692" s="382"/>
      <c r="I692" s="174"/>
    </row>
    <row r="693">
      <c r="C693" s="382"/>
      <c r="I693" s="174"/>
    </row>
    <row r="694">
      <c r="C694" s="382"/>
      <c r="I694" s="174"/>
    </row>
    <row r="695">
      <c r="C695" s="382"/>
      <c r="I695" s="174"/>
    </row>
    <row r="696">
      <c r="C696" s="382"/>
      <c r="I696" s="174"/>
    </row>
    <row r="697">
      <c r="C697" s="382"/>
      <c r="I697" s="174"/>
    </row>
    <row r="698">
      <c r="C698" s="382"/>
      <c r="I698" s="174"/>
    </row>
    <row r="699">
      <c r="C699" s="382"/>
      <c r="I699" s="174"/>
    </row>
    <row r="700">
      <c r="C700" s="382"/>
      <c r="I700" s="174"/>
    </row>
    <row r="701">
      <c r="C701" s="382"/>
      <c r="I701" s="174"/>
    </row>
    <row r="702">
      <c r="C702" s="382"/>
      <c r="I702" s="174"/>
    </row>
    <row r="703">
      <c r="C703" s="382"/>
      <c r="I703" s="174"/>
    </row>
    <row r="704">
      <c r="C704" s="382"/>
      <c r="I704" s="174"/>
    </row>
    <row r="705">
      <c r="C705" s="382"/>
      <c r="I705" s="174"/>
    </row>
    <row r="706">
      <c r="C706" s="382"/>
      <c r="I706" s="174"/>
    </row>
    <row r="707">
      <c r="C707" s="382"/>
      <c r="I707" s="174"/>
    </row>
    <row r="708">
      <c r="C708" s="382"/>
      <c r="I708" s="174"/>
    </row>
    <row r="709">
      <c r="C709" s="382"/>
      <c r="I709" s="174"/>
    </row>
    <row r="710">
      <c r="C710" s="382"/>
      <c r="I710" s="174"/>
    </row>
    <row r="711">
      <c r="C711" s="382"/>
      <c r="I711" s="174"/>
    </row>
    <row r="712">
      <c r="C712" s="382"/>
      <c r="I712" s="174"/>
    </row>
    <row r="713">
      <c r="C713" s="382"/>
      <c r="I713" s="174"/>
    </row>
    <row r="714">
      <c r="C714" s="382"/>
      <c r="I714" s="174"/>
    </row>
    <row r="715">
      <c r="C715" s="382"/>
      <c r="I715" s="174"/>
    </row>
    <row r="716">
      <c r="C716" s="382"/>
      <c r="I716" s="174"/>
    </row>
    <row r="717">
      <c r="C717" s="382"/>
      <c r="I717" s="174"/>
    </row>
    <row r="718">
      <c r="C718" s="382"/>
      <c r="I718" s="174"/>
    </row>
    <row r="719">
      <c r="C719" s="382"/>
      <c r="I719" s="174"/>
    </row>
    <row r="720">
      <c r="C720" s="382"/>
      <c r="I720" s="174"/>
    </row>
    <row r="721">
      <c r="C721" s="382"/>
      <c r="I721" s="174"/>
    </row>
    <row r="722">
      <c r="C722" s="382"/>
      <c r="I722" s="174"/>
    </row>
    <row r="723">
      <c r="C723" s="382"/>
      <c r="I723" s="174"/>
    </row>
    <row r="724">
      <c r="C724" s="382"/>
      <c r="I724" s="174"/>
    </row>
    <row r="725">
      <c r="C725" s="382"/>
      <c r="I725" s="174"/>
    </row>
    <row r="726">
      <c r="C726" s="382"/>
      <c r="I726" s="174"/>
    </row>
    <row r="727">
      <c r="C727" s="382"/>
      <c r="I727" s="174"/>
    </row>
    <row r="728">
      <c r="C728" s="382"/>
      <c r="I728" s="174"/>
    </row>
    <row r="729">
      <c r="C729" s="382"/>
      <c r="I729" s="174"/>
    </row>
    <row r="730">
      <c r="C730" s="382"/>
      <c r="I730" s="174"/>
    </row>
    <row r="731">
      <c r="C731" s="382"/>
      <c r="I731" s="174"/>
    </row>
    <row r="732">
      <c r="C732" s="382"/>
      <c r="I732" s="174"/>
    </row>
    <row r="733">
      <c r="C733" s="382"/>
      <c r="I733" s="174"/>
    </row>
    <row r="734">
      <c r="C734" s="382"/>
      <c r="I734" s="174"/>
    </row>
    <row r="735">
      <c r="C735" s="382"/>
      <c r="I735" s="174"/>
    </row>
    <row r="736">
      <c r="C736" s="382"/>
      <c r="I736" s="174"/>
    </row>
    <row r="737">
      <c r="C737" s="382"/>
      <c r="I737" s="174"/>
    </row>
    <row r="738">
      <c r="C738" s="382"/>
      <c r="I738" s="174"/>
    </row>
    <row r="739">
      <c r="C739" s="382"/>
      <c r="I739" s="174"/>
    </row>
    <row r="740">
      <c r="C740" s="382"/>
      <c r="I740" s="174"/>
    </row>
    <row r="741">
      <c r="C741" s="382"/>
      <c r="I741" s="174"/>
    </row>
    <row r="742">
      <c r="C742" s="382"/>
      <c r="I742" s="174"/>
    </row>
    <row r="743">
      <c r="C743" s="382"/>
      <c r="I743" s="174"/>
    </row>
    <row r="744">
      <c r="C744" s="382"/>
      <c r="I744" s="174"/>
    </row>
    <row r="745">
      <c r="C745" s="382"/>
      <c r="I745" s="174"/>
    </row>
    <row r="746">
      <c r="C746" s="382"/>
      <c r="I746" s="174"/>
    </row>
    <row r="747">
      <c r="C747" s="382"/>
      <c r="I747" s="174"/>
    </row>
    <row r="748">
      <c r="C748" s="382"/>
      <c r="I748" s="174"/>
    </row>
    <row r="749">
      <c r="C749" s="382"/>
      <c r="I749" s="174"/>
    </row>
    <row r="750">
      <c r="C750" s="382"/>
      <c r="I750" s="174"/>
    </row>
    <row r="751">
      <c r="C751" s="382"/>
      <c r="I751" s="174"/>
    </row>
    <row r="752">
      <c r="C752" s="382"/>
      <c r="I752" s="174"/>
    </row>
    <row r="753">
      <c r="C753" s="382"/>
      <c r="I753" s="174"/>
    </row>
    <row r="754">
      <c r="C754" s="382"/>
      <c r="I754" s="174"/>
    </row>
    <row r="755">
      <c r="C755" s="382"/>
      <c r="I755" s="174"/>
    </row>
    <row r="756">
      <c r="C756" s="382"/>
      <c r="I756" s="174"/>
    </row>
    <row r="757">
      <c r="C757" s="382"/>
      <c r="I757" s="174"/>
    </row>
    <row r="758">
      <c r="C758" s="382"/>
      <c r="I758" s="174"/>
    </row>
    <row r="759">
      <c r="C759" s="382"/>
      <c r="I759" s="174"/>
    </row>
    <row r="760">
      <c r="C760" s="382"/>
      <c r="I760" s="174"/>
    </row>
    <row r="761">
      <c r="C761" s="382"/>
      <c r="I761" s="174"/>
    </row>
    <row r="762">
      <c r="C762" s="382"/>
      <c r="I762" s="174"/>
    </row>
    <row r="763">
      <c r="C763" s="382"/>
      <c r="I763" s="174"/>
    </row>
    <row r="764">
      <c r="C764" s="382"/>
      <c r="I764" s="174"/>
    </row>
    <row r="765">
      <c r="C765" s="382"/>
      <c r="I765" s="174"/>
    </row>
    <row r="766">
      <c r="C766" s="382"/>
      <c r="I766" s="174"/>
    </row>
    <row r="767">
      <c r="C767" s="382"/>
      <c r="I767" s="174"/>
    </row>
    <row r="768">
      <c r="C768" s="382"/>
      <c r="I768" s="174"/>
    </row>
    <row r="769">
      <c r="C769" s="382"/>
      <c r="I769" s="174"/>
    </row>
    <row r="770">
      <c r="C770" s="382"/>
      <c r="I770" s="174"/>
    </row>
    <row r="771">
      <c r="C771" s="382"/>
      <c r="I771" s="174"/>
    </row>
    <row r="772">
      <c r="C772" s="382"/>
      <c r="I772" s="174"/>
    </row>
    <row r="773">
      <c r="C773" s="382"/>
      <c r="I773" s="174"/>
    </row>
    <row r="774">
      <c r="C774" s="382"/>
      <c r="I774" s="174"/>
    </row>
    <row r="775">
      <c r="C775" s="382"/>
      <c r="I775" s="174"/>
    </row>
    <row r="776">
      <c r="C776" s="382"/>
      <c r="I776" s="174"/>
    </row>
    <row r="777">
      <c r="C777" s="382"/>
      <c r="I777" s="174"/>
    </row>
    <row r="778">
      <c r="C778" s="382"/>
      <c r="I778" s="174"/>
    </row>
    <row r="779">
      <c r="C779" s="382"/>
      <c r="I779" s="174"/>
    </row>
    <row r="780">
      <c r="C780" s="382"/>
      <c r="I780" s="174"/>
    </row>
    <row r="781">
      <c r="C781" s="382"/>
      <c r="I781" s="174"/>
    </row>
    <row r="782">
      <c r="C782" s="382"/>
      <c r="I782" s="174"/>
    </row>
    <row r="783">
      <c r="C783" s="382"/>
      <c r="I783" s="174"/>
    </row>
    <row r="784">
      <c r="C784" s="382"/>
      <c r="I784" s="174"/>
    </row>
    <row r="785">
      <c r="C785" s="382"/>
      <c r="I785" s="174"/>
    </row>
    <row r="786">
      <c r="C786" s="382"/>
      <c r="I786" s="174"/>
    </row>
    <row r="787">
      <c r="C787" s="382"/>
      <c r="I787" s="174"/>
    </row>
    <row r="788">
      <c r="C788" s="382"/>
      <c r="I788" s="174"/>
    </row>
    <row r="789">
      <c r="C789" s="382"/>
      <c r="I789" s="174"/>
    </row>
    <row r="790">
      <c r="C790" s="382"/>
      <c r="I790" s="174"/>
    </row>
    <row r="791">
      <c r="C791" s="382"/>
      <c r="I791" s="174"/>
    </row>
    <row r="792">
      <c r="C792" s="382"/>
      <c r="I792" s="174"/>
    </row>
    <row r="793">
      <c r="C793" s="382"/>
      <c r="I793" s="174"/>
    </row>
    <row r="794">
      <c r="C794" s="382"/>
      <c r="I794" s="174"/>
    </row>
    <row r="795">
      <c r="C795" s="382"/>
      <c r="I795" s="174"/>
    </row>
    <row r="796">
      <c r="C796" s="382"/>
      <c r="I796" s="174"/>
    </row>
    <row r="797">
      <c r="C797" s="382"/>
      <c r="I797" s="174"/>
    </row>
    <row r="798">
      <c r="C798" s="382"/>
      <c r="I798" s="174"/>
    </row>
    <row r="799">
      <c r="C799" s="382"/>
      <c r="I799" s="174"/>
    </row>
    <row r="800">
      <c r="C800" s="382"/>
      <c r="I800" s="174"/>
    </row>
    <row r="801">
      <c r="C801" s="382"/>
      <c r="I801" s="174"/>
    </row>
    <row r="802">
      <c r="C802" s="382"/>
      <c r="I802" s="174"/>
    </row>
    <row r="803">
      <c r="C803" s="382"/>
      <c r="I803" s="174"/>
    </row>
    <row r="804">
      <c r="C804" s="382"/>
      <c r="I804" s="174"/>
    </row>
    <row r="805">
      <c r="C805" s="382"/>
      <c r="I805" s="174"/>
    </row>
    <row r="806">
      <c r="C806" s="382"/>
      <c r="I806" s="174"/>
    </row>
    <row r="807">
      <c r="C807" s="382"/>
      <c r="I807" s="174"/>
    </row>
    <row r="808">
      <c r="C808" s="382"/>
      <c r="I808" s="174"/>
    </row>
    <row r="809">
      <c r="C809" s="382"/>
      <c r="I809" s="174"/>
    </row>
    <row r="810">
      <c r="C810" s="382"/>
      <c r="I810" s="174"/>
    </row>
    <row r="811">
      <c r="C811" s="382"/>
      <c r="I811" s="174"/>
    </row>
    <row r="812">
      <c r="C812" s="382"/>
      <c r="I812" s="174"/>
    </row>
    <row r="813">
      <c r="C813" s="382"/>
      <c r="I813" s="174"/>
    </row>
    <row r="814">
      <c r="C814" s="382"/>
      <c r="I814" s="174"/>
    </row>
    <row r="815">
      <c r="C815" s="382"/>
      <c r="I815" s="174"/>
    </row>
    <row r="816">
      <c r="C816" s="382"/>
      <c r="I816" s="174"/>
    </row>
    <row r="817">
      <c r="C817" s="382"/>
      <c r="I817" s="174"/>
    </row>
    <row r="818">
      <c r="C818" s="382"/>
      <c r="I818" s="174"/>
    </row>
    <row r="819">
      <c r="C819" s="382"/>
      <c r="I819" s="174"/>
    </row>
    <row r="820">
      <c r="C820" s="382"/>
      <c r="I820" s="174"/>
    </row>
    <row r="821">
      <c r="C821" s="382"/>
      <c r="I821" s="174"/>
    </row>
    <row r="822">
      <c r="C822" s="382"/>
      <c r="I822" s="174"/>
    </row>
    <row r="823">
      <c r="C823" s="382"/>
      <c r="I823" s="174"/>
    </row>
    <row r="824">
      <c r="C824" s="382"/>
      <c r="I824" s="174"/>
    </row>
    <row r="825">
      <c r="C825" s="382"/>
      <c r="I825" s="174"/>
    </row>
    <row r="826">
      <c r="C826" s="382"/>
      <c r="I826" s="174"/>
    </row>
    <row r="827">
      <c r="C827" s="382"/>
      <c r="I827" s="174"/>
    </row>
    <row r="828">
      <c r="C828" s="382"/>
      <c r="I828" s="174"/>
    </row>
    <row r="829">
      <c r="C829" s="382"/>
      <c r="I829" s="174"/>
    </row>
    <row r="830">
      <c r="C830" s="382"/>
      <c r="I830" s="174"/>
    </row>
    <row r="831">
      <c r="C831" s="382"/>
      <c r="I831" s="174"/>
    </row>
    <row r="832">
      <c r="C832" s="382"/>
      <c r="I832" s="174"/>
    </row>
    <row r="833">
      <c r="C833" s="382"/>
      <c r="I833" s="174"/>
    </row>
    <row r="834">
      <c r="C834" s="382"/>
      <c r="I834" s="174"/>
    </row>
    <row r="835">
      <c r="C835" s="382"/>
      <c r="I835" s="174"/>
    </row>
    <row r="836">
      <c r="C836" s="382"/>
      <c r="I836" s="174"/>
    </row>
    <row r="837">
      <c r="C837" s="382"/>
      <c r="I837" s="174"/>
    </row>
    <row r="838">
      <c r="C838" s="382"/>
      <c r="I838" s="174"/>
    </row>
    <row r="839">
      <c r="C839" s="382"/>
      <c r="I839" s="174"/>
    </row>
    <row r="840">
      <c r="C840" s="382"/>
      <c r="I840" s="174"/>
    </row>
    <row r="841">
      <c r="C841" s="382"/>
      <c r="I841" s="174"/>
    </row>
    <row r="842">
      <c r="C842" s="382"/>
      <c r="I842" s="174"/>
    </row>
    <row r="843">
      <c r="C843" s="382"/>
      <c r="I843" s="174"/>
    </row>
    <row r="844">
      <c r="C844" s="382"/>
      <c r="I844" s="174"/>
    </row>
    <row r="845">
      <c r="C845" s="382"/>
      <c r="I845" s="174"/>
    </row>
    <row r="846">
      <c r="C846" s="382"/>
      <c r="I846" s="174"/>
    </row>
    <row r="847">
      <c r="C847" s="382"/>
      <c r="I847" s="174"/>
    </row>
    <row r="848">
      <c r="C848" s="382"/>
      <c r="I848" s="174"/>
    </row>
    <row r="849">
      <c r="C849" s="382"/>
      <c r="I849" s="174"/>
    </row>
    <row r="850">
      <c r="C850" s="382"/>
      <c r="I850" s="174"/>
    </row>
    <row r="851">
      <c r="C851" s="382"/>
      <c r="I851" s="174"/>
    </row>
    <row r="852">
      <c r="C852" s="382"/>
      <c r="I852" s="174"/>
    </row>
    <row r="853">
      <c r="C853" s="382"/>
      <c r="I853" s="174"/>
    </row>
    <row r="854">
      <c r="C854" s="382"/>
      <c r="I854" s="174"/>
    </row>
    <row r="855">
      <c r="C855" s="382"/>
      <c r="I855" s="174"/>
    </row>
    <row r="856">
      <c r="C856" s="382"/>
      <c r="I856" s="174"/>
    </row>
    <row r="857">
      <c r="C857" s="382"/>
      <c r="I857" s="174"/>
    </row>
    <row r="858">
      <c r="C858" s="382"/>
      <c r="I858" s="174"/>
    </row>
    <row r="859">
      <c r="C859" s="382"/>
      <c r="I859" s="174"/>
    </row>
    <row r="860">
      <c r="C860" s="382"/>
      <c r="I860" s="174"/>
    </row>
    <row r="861">
      <c r="C861" s="382"/>
      <c r="I861" s="174"/>
    </row>
    <row r="862">
      <c r="C862" s="382"/>
      <c r="I862" s="174"/>
    </row>
    <row r="863">
      <c r="C863" s="382"/>
      <c r="I863" s="174"/>
    </row>
    <row r="864">
      <c r="C864" s="382"/>
      <c r="I864" s="174"/>
    </row>
    <row r="865">
      <c r="C865" s="382"/>
      <c r="I865" s="174"/>
    </row>
    <row r="866">
      <c r="C866" s="382"/>
      <c r="I866" s="174"/>
    </row>
    <row r="867">
      <c r="C867" s="382"/>
      <c r="I867" s="174"/>
    </row>
    <row r="868">
      <c r="C868" s="382"/>
      <c r="I868" s="174"/>
    </row>
    <row r="869">
      <c r="C869" s="382"/>
      <c r="I869" s="174"/>
    </row>
    <row r="870">
      <c r="C870" s="382"/>
      <c r="I870" s="174"/>
    </row>
    <row r="871">
      <c r="C871" s="382"/>
      <c r="I871" s="174"/>
    </row>
    <row r="872">
      <c r="C872" s="382"/>
      <c r="I872" s="174"/>
    </row>
    <row r="873">
      <c r="C873" s="382"/>
      <c r="I873" s="174"/>
    </row>
    <row r="874">
      <c r="C874" s="382"/>
      <c r="I874" s="174"/>
    </row>
    <row r="875">
      <c r="C875" s="382"/>
      <c r="I875" s="174"/>
    </row>
    <row r="876">
      <c r="C876" s="382"/>
      <c r="I876" s="174"/>
    </row>
    <row r="877">
      <c r="C877" s="382"/>
      <c r="I877" s="174"/>
    </row>
    <row r="878">
      <c r="C878" s="382"/>
      <c r="I878" s="174"/>
    </row>
    <row r="879">
      <c r="C879" s="382"/>
      <c r="I879" s="174"/>
    </row>
    <row r="880">
      <c r="C880" s="382"/>
      <c r="I880" s="174"/>
    </row>
    <row r="881">
      <c r="C881" s="382"/>
      <c r="I881" s="174"/>
    </row>
    <row r="882">
      <c r="C882" s="382"/>
      <c r="I882" s="174"/>
    </row>
    <row r="883">
      <c r="C883" s="382"/>
      <c r="I883" s="174"/>
    </row>
    <row r="884">
      <c r="C884" s="382"/>
      <c r="I884" s="174"/>
    </row>
    <row r="885">
      <c r="C885" s="382"/>
      <c r="I885" s="174"/>
    </row>
    <row r="886">
      <c r="C886" s="382"/>
      <c r="I886" s="174"/>
    </row>
    <row r="887">
      <c r="C887" s="382"/>
      <c r="I887" s="174"/>
    </row>
    <row r="888">
      <c r="C888" s="382"/>
      <c r="I888" s="174"/>
    </row>
    <row r="889">
      <c r="C889" s="382"/>
      <c r="I889" s="174"/>
    </row>
    <row r="890">
      <c r="C890" s="382"/>
      <c r="I890" s="174"/>
    </row>
    <row r="891">
      <c r="C891" s="382"/>
      <c r="I891" s="174"/>
    </row>
    <row r="892">
      <c r="C892" s="382"/>
      <c r="I892" s="174"/>
    </row>
    <row r="893">
      <c r="C893" s="382"/>
      <c r="I893" s="174"/>
    </row>
    <row r="894">
      <c r="C894" s="382"/>
      <c r="I894" s="174"/>
    </row>
    <row r="895">
      <c r="C895" s="382"/>
      <c r="I895" s="174"/>
    </row>
    <row r="896">
      <c r="C896" s="382"/>
      <c r="I896" s="174"/>
    </row>
    <row r="897">
      <c r="C897" s="382"/>
      <c r="I897" s="174"/>
    </row>
    <row r="898">
      <c r="C898" s="382"/>
      <c r="I898" s="174"/>
    </row>
    <row r="899">
      <c r="C899" s="382"/>
      <c r="I899" s="174"/>
    </row>
    <row r="900">
      <c r="C900" s="382"/>
      <c r="I900" s="174"/>
    </row>
    <row r="901">
      <c r="C901" s="382"/>
      <c r="I901" s="174"/>
    </row>
    <row r="902">
      <c r="C902" s="382"/>
      <c r="I902" s="174"/>
    </row>
    <row r="903">
      <c r="C903" s="382"/>
      <c r="I903" s="174"/>
    </row>
    <row r="904">
      <c r="C904" s="382"/>
      <c r="I904" s="174"/>
    </row>
    <row r="905">
      <c r="C905" s="382"/>
      <c r="I905" s="174"/>
    </row>
    <row r="906">
      <c r="C906" s="382"/>
      <c r="I906" s="174"/>
    </row>
    <row r="907">
      <c r="C907" s="382"/>
      <c r="I907" s="174"/>
    </row>
    <row r="908">
      <c r="C908" s="382"/>
      <c r="I908" s="174"/>
    </row>
    <row r="909">
      <c r="C909" s="382"/>
      <c r="I909" s="174"/>
    </row>
    <row r="910">
      <c r="C910" s="382"/>
      <c r="I910" s="174"/>
    </row>
    <row r="911">
      <c r="C911" s="382"/>
      <c r="I911" s="174"/>
    </row>
    <row r="912">
      <c r="C912" s="382"/>
      <c r="I912" s="174"/>
    </row>
    <row r="913">
      <c r="C913" s="382"/>
      <c r="I913" s="174"/>
    </row>
    <row r="914">
      <c r="C914" s="382"/>
      <c r="I914" s="174"/>
    </row>
    <row r="915">
      <c r="C915" s="382"/>
      <c r="I915" s="174"/>
    </row>
    <row r="916">
      <c r="C916" s="382"/>
      <c r="I916" s="174"/>
    </row>
    <row r="917">
      <c r="C917" s="382"/>
      <c r="I917" s="174"/>
    </row>
    <row r="918">
      <c r="C918" s="382"/>
      <c r="I918" s="174"/>
    </row>
    <row r="919">
      <c r="C919" s="382"/>
      <c r="I919" s="174"/>
    </row>
    <row r="920">
      <c r="C920" s="382"/>
      <c r="I920" s="174"/>
    </row>
    <row r="921">
      <c r="C921" s="382"/>
      <c r="I921" s="174"/>
    </row>
    <row r="922">
      <c r="C922" s="382"/>
      <c r="I922" s="174"/>
    </row>
    <row r="923">
      <c r="C923" s="382"/>
      <c r="I923" s="174"/>
    </row>
    <row r="924">
      <c r="C924" s="382"/>
      <c r="I924" s="174"/>
    </row>
    <row r="925">
      <c r="C925" s="382"/>
      <c r="I925" s="174"/>
    </row>
    <row r="926">
      <c r="C926" s="382"/>
      <c r="I926" s="174"/>
    </row>
    <row r="927">
      <c r="C927" s="382"/>
      <c r="I927" s="174"/>
    </row>
    <row r="928">
      <c r="C928" s="382"/>
      <c r="I928" s="174"/>
    </row>
    <row r="929">
      <c r="C929" s="382"/>
      <c r="I929" s="174"/>
    </row>
    <row r="930">
      <c r="C930" s="382"/>
      <c r="I930" s="174"/>
    </row>
    <row r="931">
      <c r="C931" s="382"/>
      <c r="I931" s="174"/>
    </row>
    <row r="932">
      <c r="C932" s="382"/>
      <c r="I932" s="174"/>
    </row>
    <row r="933">
      <c r="C933" s="382"/>
      <c r="I933" s="174"/>
    </row>
    <row r="934">
      <c r="C934" s="382"/>
      <c r="I934" s="174"/>
    </row>
    <row r="935">
      <c r="C935" s="382"/>
      <c r="I935" s="174"/>
    </row>
    <row r="936">
      <c r="C936" s="382"/>
      <c r="I936" s="174"/>
    </row>
    <row r="937">
      <c r="C937" s="382"/>
      <c r="I937" s="174"/>
    </row>
    <row r="938">
      <c r="C938" s="382"/>
      <c r="I938" s="174"/>
    </row>
    <row r="939">
      <c r="C939" s="382"/>
      <c r="I939" s="174"/>
    </row>
    <row r="940">
      <c r="C940" s="382"/>
      <c r="I940" s="174"/>
    </row>
    <row r="941">
      <c r="C941" s="382"/>
      <c r="I941" s="174"/>
    </row>
    <row r="942">
      <c r="C942" s="382"/>
      <c r="I942" s="174"/>
    </row>
    <row r="943">
      <c r="C943" s="382"/>
      <c r="I943" s="174"/>
    </row>
    <row r="944">
      <c r="C944" s="382"/>
      <c r="I944" s="174"/>
    </row>
    <row r="945">
      <c r="C945" s="382"/>
      <c r="I945" s="174"/>
    </row>
    <row r="946">
      <c r="C946" s="382"/>
      <c r="I946" s="174"/>
    </row>
    <row r="947">
      <c r="C947" s="382"/>
      <c r="I947" s="174"/>
    </row>
    <row r="948">
      <c r="C948" s="382"/>
      <c r="I948" s="174"/>
    </row>
    <row r="949">
      <c r="C949" s="382"/>
      <c r="I949" s="174"/>
    </row>
    <row r="950">
      <c r="C950" s="382"/>
      <c r="I950" s="174"/>
    </row>
    <row r="951">
      <c r="C951" s="382"/>
      <c r="I951" s="174"/>
    </row>
    <row r="952">
      <c r="C952" s="382"/>
      <c r="I952" s="174"/>
    </row>
    <row r="953">
      <c r="C953" s="382"/>
      <c r="I953" s="174"/>
    </row>
    <row r="954">
      <c r="C954" s="382"/>
      <c r="I954" s="174"/>
    </row>
    <row r="955">
      <c r="C955" s="382"/>
      <c r="I955" s="174"/>
    </row>
    <row r="956">
      <c r="C956" s="382"/>
      <c r="I956" s="174"/>
    </row>
    <row r="957">
      <c r="C957" s="382"/>
      <c r="I957" s="174"/>
    </row>
    <row r="958">
      <c r="C958" s="382"/>
      <c r="I958" s="174"/>
    </row>
    <row r="959">
      <c r="C959" s="382"/>
      <c r="I959" s="174"/>
    </row>
    <row r="960">
      <c r="C960" s="382"/>
      <c r="I960" s="174"/>
    </row>
    <row r="961">
      <c r="C961" s="382"/>
      <c r="I961" s="174"/>
    </row>
    <row r="962">
      <c r="C962" s="382"/>
      <c r="I962" s="174"/>
    </row>
    <row r="963">
      <c r="C963" s="382"/>
      <c r="I963" s="174"/>
    </row>
    <row r="964">
      <c r="C964" s="382"/>
      <c r="I964" s="174"/>
    </row>
    <row r="965">
      <c r="C965" s="382"/>
      <c r="I965" s="174"/>
    </row>
    <row r="966">
      <c r="C966" s="382"/>
      <c r="I966" s="174"/>
    </row>
    <row r="967">
      <c r="C967" s="382"/>
      <c r="I967" s="174"/>
    </row>
    <row r="968">
      <c r="C968" s="382"/>
      <c r="I968" s="174"/>
    </row>
    <row r="969">
      <c r="C969" s="382"/>
      <c r="I969" s="174"/>
    </row>
    <row r="970">
      <c r="C970" s="382"/>
      <c r="I970" s="174"/>
    </row>
    <row r="971">
      <c r="C971" s="382"/>
      <c r="I971" s="174"/>
    </row>
    <row r="972">
      <c r="C972" s="382"/>
      <c r="I972" s="174"/>
    </row>
    <row r="973">
      <c r="C973" s="382"/>
      <c r="I973" s="174"/>
    </row>
    <row r="974">
      <c r="C974" s="382"/>
      <c r="I974" s="174"/>
    </row>
    <row r="975">
      <c r="C975" s="382"/>
      <c r="I975" s="174"/>
    </row>
    <row r="976">
      <c r="C976" s="382"/>
      <c r="I976" s="174"/>
    </row>
    <row r="977">
      <c r="C977" s="382"/>
      <c r="I977" s="174"/>
    </row>
    <row r="978">
      <c r="C978" s="382"/>
      <c r="I978" s="174"/>
    </row>
    <row r="979">
      <c r="C979" s="382"/>
      <c r="I979" s="174"/>
    </row>
    <row r="980">
      <c r="C980" s="382"/>
      <c r="I980" s="174"/>
    </row>
    <row r="981">
      <c r="C981" s="382"/>
      <c r="I981" s="174"/>
    </row>
    <row r="982">
      <c r="C982" s="382"/>
      <c r="I982" s="174"/>
    </row>
    <row r="983">
      <c r="C983" s="382"/>
      <c r="I983" s="174"/>
    </row>
    <row r="984">
      <c r="C984" s="382"/>
      <c r="I984" s="174"/>
    </row>
    <row r="985">
      <c r="C985" s="382"/>
      <c r="I985" s="174"/>
    </row>
    <row r="986">
      <c r="C986" s="382"/>
      <c r="I986" s="174"/>
    </row>
    <row r="987">
      <c r="C987" s="382"/>
      <c r="I987" s="174"/>
    </row>
    <row r="988">
      <c r="C988" s="382"/>
      <c r="I988" s="174"/>
    </row>
    <row r="989">
      <c r="C989" s="382"/>
      <c r="I989" s="174"/>
    </row>
    <row r="990">
      <c r="C990" s="382"/>
      <c r="I990" s="174"/>
    </row>
    <row r="991">
      <c r="C991" s="382"/>
      <c r="I991" s="174"/>
    </row>
    <row r="992">
      <c r="C992" s="382"/>
      <c r="I992" s="174"/>
    </row>
    <row r="993">
      <c r="C993" s="382"/>
      <c r="I993" s="174"/>
    </row>
    <row r="994">
      <c r="C994" s="382"/>
      <c r="I994" s="174"/>
    </row>
    <row r="995">
      <c r="C995" s="382"/>
      <c r="I995" s="174"/>
    </row>
    <row r="996">
      <c r="C996" s="382"/>
      <c r="I996" s="174"/>
    </row>
    <row r="997">
      <c r="C997" s="382"/>
      <c r="I997" s="174"/>
    </row>
    <row r="998">
      <c r="C998" s="382"/>
      <c r="I998" s="174"/>
    </row>
    <row r="999">
      <c r="C999" s="382"/>
      <c r="I999" s="174"/>
    </row>
    <row r="1000">
      <c r="C1000" s="382"/>
      <c r="I1000" s="174"/>
    </row>
    <row r="1001">
      <c r="C1001" s="382"/>
      <c r="I1001" s="174"/>
    </row>
    <row r="1002">
      <c r="C1002" s="382"/>
      <c r="I1002" s="174"/>
    </row>
  </sheetData>
  <mergeCells count="2">
    <mergeCell ref="A2:A9"/>
    <mergeCell ref="A10:A17"/>
  </mergeCells>
  <conditionalFormatting sqref="F1:G1002 L1:L17 Q1:Q17 V1:V17">
    <cfRule type="cellIs" dxfId="5" priority="1" operator="greaterThan">
      <formula>0</formula>
    </cfRule>
  </conditionalFormatting>
  <conditionalFormatting sqref="F1:G1002 L1:L17 Q1:Q17 V1:V17">
    <cfRule type="cellIs" dxfId="6" priority="2" operator="lessThan">
      <formula>0</formula>
    </cfRule>
  </conditionalFormatting>
  <conditionalFormatting sqref="AA2:AA7 AB2:AB16 AA9:AA15">
    <cfRule type="cellIs" dxfId="5" priority="3" operator="greaterThan">
      <formula>0</formula>
    </cfRule>
  </conditionalFormatting>
  <conditionalFormatting sqref="AA2:AA7 AB2:AB16 AA9:AA15">
    <cfRule type="cellIs" dxfId="7" priority="4" operator="lessThan">
      <formula>0</formula>
    </cfRule>
  </conditionalFormatting>
  <conditionalFormatting sqref="AC2:AC16">
    <cfRule type="cellIs" dxfId="5" priority="5" operator="greaterThan">
      <formula>0</formula>
    </cfRule>
  </conditionalFormatting>
  <conditionalFormatting sqref="AC2:AC16">
    <cfRule type="cellIs" dxfId="7" priority="6" operator="lessThan">
      <formula>0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0.0"/>
    <col customWidth="1" min="6" max="6" width="19.5"/>
  </cols>
  <sheetData>
    <row r="1">
      <c r="A1" s="348"/>
      <c r="B1" s="348"/>
      <c r="C1" s="350" t="s">
        <v>597</v>
      </c>
      <c r="D1" s="350" t="s">
        <v>598</v>
      </c>
      <c r="E1" s="350" t="s">
        <v>599</v>
      </c>
      <c r="F1" s="350" t="s">
        <v>601</v>
      </c>
      <c r="G1" s="350" t="s">
        <v>602</v>
      </c>
      <c r="H1" s="386" t="s">
        <v>603</v>
      </c>
      <c r="I1" s="386" t="s">
        <v>604</v>
      </c>
      <c r="J1" s="386" t="s">
        <v>605</v>
      </c>
      <c r="K1" s="350" t="s">
        <v>606</v>
      </c>
    </row>
    <row r="2">
      <c r="A2" s="409" t="s">
        <v>572</v>
      </c>
      <c r="B2" s="352" t="s">
        <v>564</v>
      </c>
      <c r="C2" s="353">
        <v>1731.0</v>
      </c>
      <c r="D2" s="354">
        <v>1754.0</v>
      </c>
      <c r="E2" s="354">
        <v>1754.0</v>
      </c>
      <c r="F2" s="355">
        <f t="shared" ref="F2:F14" si="1">(D2-C2)/C2</f>
        <v>0.01328711727</v>
      </c>
      <c r="G2" s="354">
        <v>296.0</v>
      </c>
      <c r="H2" s="354">
        <v>301.0</v>
      </c>
      <c r="I2" s="354">
        <v>309.0</v>
      </c>
      <c r="J2" s="354">
        <v>309.0</v>
      </c>
      <c r="K2" s="355">
        <f>((J2-E2)/E2)</f>
        <v>-0.8238312429</v>
      </c>
    </row>
    <row r="3">
      <c r="A3" s="356"/>
      <c r="B3" s="357" t="s">
        <v>565</v>
      </c>
      <c r="C3" s="358">
        <v>1258.0</v>
      </c>
      <c r="D3" s="358">
        <v>2158.0</v>
      </c>
      <c r="E3" s="354">
        <f t="shared" ref="E3:E17" si="2">SUM(C3:D3)</f>
        <v>3416</v>
      </c>
      <c r="F3" s="355">
        <f t="shared" si="1"/>
        <v>0.7154213037</v>
      </c>
      <c r="G3" s="358">
        <v>283.0</v>
      </c>
      <c r="H3" s="358">
        <v>149.0</v>
      </c>
      <c r="I3" s="358">
        <v>247.0</v>
      </c>
      <c r="J3" s="354">
        <f t="shared" ref="J3:J9" si="3">SUM(G3:I3)</f>
        <v>679</v>
      </c>
      <c r="K3" s="355">
        <f t="shared" ref="K3:K9" si="4">(J3-E3)/E3</f>
        <v>-0.8012295082</v>
      </c>
    </row>
    <row r="4">
      <c r="A4" s="356"/>
      <c r="B4" s="410" t="s">
        <v>566</v>
      </c>
      <c r="C4" s="360">
        <v>127.0</v>
      </c>
      <c r="D4" s="361">
        <v>149.0</v>
      </c>
      <c r="E4" s="392">
        <f t="shared" si="2"/>
        <v>276</v>
      </c>
      <c r="F4" s="355">
        <f t="shared" si="1"/>
        <v>0.1732283465</v>
      </c>
      <c r="G4" s="361">
        <v>78.0</v>
      </c>
      <c r="H4" s="361">
        <v>52.0</v>
      </c>
      <c r="I4" s="360">
        <v>129.0</v>
      </c>
      <c r="J4" s="392">
        <f t="shared" si="3"/>
        <v>259</v>
      </c>
      <c r="K4" s="355">
        <f t="shared" si="4"/>
        <v>-0.0615942029</v>
      </c>
    </row>
    <row r="5">
      <c r="A5" s="356"/>
      <c r="B5" s="357" t="s">
        <v>567</v>
      </c>
      <c r="C5" s="358">
        <v>3654.0</v>
      </c>
      <c r="D5" s="362">
        <v>8791.0</v>
      </c>
      <c r="E5" s="354">
        <f t="shared" si="2"/>
        <v>12445</v>
      </c>
      <c r="F5" s="355">
        <f t="shared" si="1"/>
        <v>1.405856596</v>
      </c>
      <c r="G5" s="362">
        <v>0.0</v>
      </c>
      <c r="H5" s="362">
        <v>0.0</v>
      </c>
      <c r="I5" s="358">
        <v>1027.0</v>
      </c>
      <c r="J5" s="354">
        <f t="shared" si="3"/>
        <v>1027</v>
      </c>
      <c r="K5" s="355">
        <f t="shared" si="4"/>
        <v>-0.9174768984</v>
      </c>
    </row>
    <row r="6">
      <c r="A6" s="356"/>
      <c r="B6" s="363" t="s">
        <v>568</v>
      </c>
      <c r="C6" s="364">
        <v>138.0</v>
      </c>
      <c r="D6" s="365">
        <v>212.0</v>
      </c>
      <c r="E6" s="392">
        <f t="shared" si="2"/>
        <v>350</v>
      </c>
      <c r="F6" s="355">
        <f t="shared" si="1"/>
        <v>0.5362318841</v>
      </c>
      <c r="G6" s="365">
        <v>237.0</v>
      </c>
      <c r="H6" s="365">
        <v>148.0</v>
      </c>
      <c r="I6" s="364">
        <v>208.0</v>
      </c>
      <c r="J6" s="392">
        <f t="shared" si="3"/>
        <v>593</v>
      </c>
      <c r="K6" s="355">
        <f t="shared" si="4"/>
        <v>0.6942857143</v>
      </c>
    </row>
    <row r="7">
      <c r="A7" s="356"/>
      <c r="B7" s="363" t="s">
        <v>569</v>
      </c>
      <c r="C7" s="364">
        <v>11.0</v>
      </c>
      <c r="D7" s="366">
        <v>26.0</v>
      </c>
      <c r="E7" s="392">
        <f t="shared" si="2"/>
        <v>37</v>
      </c>
      <c r="F7" s="355">
        <f t="shared" si="1"/>
        <v>1.363636364</v>
      </c>
      <c r="G7" s="366">
        <v>104.0</v>
      </c>
      <c r="H7" s="366">
        <v>10.0</v>
      </c>
      <c r="I7" s="364">
        <v>39.0</v>
      </c>
      <c r="J7" s="392">
        <f t="shared" si="3"/>
        <v>153</v>
      </c>
      <c r="K7" s="355">
        <f t="shared" si="4"/>
        <v>3.135135135</v>
      </c>
    </row>
    <row r="8">
      <c r="A8" s="356"/>
      <c r="B8" s="367" t="s">
        <v>570</v>
      </c>
      <c r="C8" s="368">
        <f t="shared" ref="C8:D8" si="5">C4/C3</f>
        <v>0.1009538951</v>
      </c>
      <c r="D8" s="368">
        <f t="shared" si="5"/>
        <v>0.06904541242</v>
      </c>
      <c r="E8" s="389">
        <f t="shared" si="2"/>
        <v>0.1699993075</v>
      </c>
      <c r="F8" s="355">
        <f t="shared" si="1"/>
        <v>-0.3160698518</v>
      </c>
      <c r="G8" s="368">
        <f t="shared" ref="G8:I8" si="6">G4/G3</f>
        <v>0.2756183746</v>
      </c>
      <c r="H8" s="368">
        <f t="shared" si="6"/>
        <v>0.3489932886</v>
      </c>
      <c r="I8" s="368">
        <f t="shared" si="6"/>
        <v>0.5222672065</v>
      </c>
      <c r="J8" s="389">
        <f t="shared" si="3"/>
        <v>1.14687887</v>
      </c>
      <c r="K8" s="355">
        <f t="shared" si="4"/>
        <v>5.746373774</v>
      </c>
    </row>
    <row r="9" ht="14.25" customHeight="1">
      <c r="A9" s="369"/>
      <c r="B9" s="370" t="s">
        <v>571</v>
      </c>
      <c r="C9" s="371">
        <v>14.0</v>
      </c>
      <c r="D9" s="372">
        <v>40.0</v>
      </c>
      <c r="E9" s="404">
        <f t="shared" si="2"/>
        <v>54</v>
      </c>
      <c r="F9" s="373">
        <f t="shared" si="1"/>
        <v>1.857142857</v>
      </c>
      <c r="G9" s="372">
        <v>45.0</v>
      </c>
      <c r="H9" s="372">
        <v>23.0</v>
      </c>
      <c r="I9" s="372">
        <v>23.0</v>
      </c>
      <c r="J9" s="404">
        <f t="shared" si="3"/>
        <v>91</v>
      </c>
      <c r="K9" s="373">
        <f t="shared" si="4"/>
        <v>0.6851851852</v>
      </c>
    </row>
    <row r="10">
      <c r="A10" s="411" t="s">
        <v>563</v>
      </c>
      <c r="B10" s="352" t="s">
        <v>564</v>
      </c>
      <c r="C10" s="375">
        <v>295.0</v>
      </c>
      <c r="D10" s="354">
        <v>298.0</v>
      </c>
      <c r="E10" s="354">
        <f t="shared" si="2"/>
        <v>593</v>
      </c>
      <c r="F10" s="355">
        <f t="shared" si="1"/>
        <v>0.01016949153</v>
      </c>
      <c r="G10" s="354">
        <v>1787.0</v>
      </c>
      <c r="H10" s="354">
        <v>1770.0</v>
      </c>
      <c r="I10" s="354">
        <v>1792.0</v>
      </c>
      <c r="J10" s="354">
        <v>1792.0</v>
      </c>
      <c r="K10" s="355">
        <f>(J10-D10)/D10</f>
        <v>5.013422819</v>
      </c>
    </row>
    <row r="11">
      <c r="A11" s="356"/>
      <c r="B11" s="352" t="s">
        <v>566</v>
      </c>
      <c r="C11" s="376">
        <v>38.0</v>
      </c>
      <c r="D11" s="364">
        <v>79.0</v>
      </c>
      <c r="E11" s="392">
        <f t="shared" si="2"/>
        <v>117</v>
      </c>
      <c r="F11" s="355">
        <f t="shared" si="1"/>
        <v>1.078947368</v>
      </c>
      <c r="G11" s="364">
        <v>241.0</v>
      </c>
      <c r="H11" s="364">
        <v>157.0</v>
      </c>
      <c r="I11" s="364">
        <v>291.0</v>
      </c>
      <c r="J11" s="392">
        <f t="shared" ref="J11:J17" si="7">SUM(G11:I11)</f>
        <v>689</v>
      </c>
      <c r="K11" s="355">
        <f t="shared" ref="K11:K17" si="8">(J11-E11)/E11</f>
        <v>4.888888889</v>
      </c>
    </row>
    <row r="12">
      <c r="A12" s="356"/>
      <c r="B12" s="377" t="s">
        <v>565</v>
      </c>
      <c r="C12" s="378">
        <v>22255.0</v>
      </c>
      <c r="D12" s="378">
        <v>28004.0</v>
      </c>
      <c r="E12" s="354">
        <f t="shared" si="2"/>
        <v>50259</v>
      </c>
      <c r="F12" s="355">
        <f t="shared" si="1"/>
        <v>0.2583239721</v>
      </c>
      <c r="G12" s="378">
        <v>2863.0</v>
      </c>
      <c r="H12" s="378">
        <v>982.0</v>
      </c>
      <c r="I12" s="378">
        <v>1253.0</v>
      </c>
      <c r="J12" s="354">
        <f t="shared" si="7"/>
        <v>5098</v>
      </c>
      <c r="K12" s="355">
        <f t="shared" si="8"/>
        <v>-0.8985654311</v>
      </c>
    </row>
    <row r="13">
      <c r="A13" s="356"/>
      <c r="B13" s="352" t="s">
        <v>567</v>
      </c>
      <c r="C13" s="378">
        <v>39437.0</v>
      </c>
      <c r="D13" s="378">
        <v>67108.0</v>
      </c>
      <c r="E13" s="354">
        <f t="shared" si="2"/>
        <v>106545</v>
      </c>
      <c r="F13" s="355">
        <f t="shared" si="1"/>
        <v>0.7016507341</v>
      </c>
      <c r="G13" s="378">
        <v>6997.0</v>
      </c>
      <c r="H13" s="378">
        <v>2704.0</v>
      </c>
      <c r="I13" s="378">
        <v>5723.0</v>
      </c>
      <c r="J13" s="354">
        <f t="shared" si="7"/>
        <v>15424</v>
      </c>
      <c r="K13" s="355">
        <f t="shared" si="8"/>
        <v>-0.8552348773</v>
      </c>
    </row>
    <row r="14">
      <c r="A14" s="356"/>
      <c r="B14" s="363" t="s">
        <v>573</v>
      </c>
      <c r="C14" s="376">
        <v>220.0</v>
      </c>
      <c r="D14" s="364">
        <v>176.0</v>
      </c>
      <c r="E14" s="392">
        <f t="shared" si="2"/>
        <v>396</v>
      </c>
      <c r="F14" s="355">
        <f t="shared" si="1"/>
        <v>-0.2</v>
      </c>
      <c r="G14" s="364">
        <v>201.0</v>
      </c>
      <c r="H14" s="364">
        <v>109.0</v>
      </c>
      <c r="I14" s="364">
        <v>308.0</v>
      </c>
      <c r="J14" s="392">
        <f t="shared" si="7"/>
        <v>618</v>
      </c>
      <c r="K14" s="355">
        <f t="shared" si="8"/>
        <v>0.5606060606</v>
      </c>
    </row>
    <row r="15">
      <c r="A15" s="356"/>
      <c r="B15" s="379" t="s">
        <v>569</v>
      </c>
      <c r="C15" s="376">
        <v>679.0</v>
      </c>
      <c r="D15" s="364">
        <v>404.0</v>
      </c>
      <c r="E15" s="392">
        <f t="shared" si="2"/>
        <v>1083</v>
      </c>
      <c r="F15" s="355"/>
      <c r="G15" s="364">
        <v>1319.0</v>
      </c>
      <c r="H15" s="364">
        <v>151.0</v>
      </c>
      <c r="I15" s="364">
        <v>753.0</v>
      </c>
      <c r="J15" s="392">
        <f t="shared" si="7"/>
        <v>2223</v>
      </c>
      <c r="K15" s="355">
        <f t="shared" si="8"/>
        <v>1.052631579</v>
      </c>
    </row>
    <row r="16">
      <c r="A16" s="356"/>
      <c r="B16" s="367" t="s">
        <v>570</v>
      </c>
      <c r="C16" s="380">
        <f t="shared" ref="C16:D16" si="9">C11/C12</f>
        <v>0.001707481465</v>
      </c>
      <c r="D16" s="380">
        <f t="shared" si="9"/>
        <v>0.002821025568</v>
      </c>
      <c r="E16" s="389">
        <f t="shared" si="2"/>
        <v>0.004528507033</v>
      </c>
      <c r="F16" s="355">
        <f t="shared" ref="F16:F17" si="11">(D16-C16)/C16</f>
        <v>0.652155895</v>
      </c>
      <c r="G16" s="380">
        <f t="shared" ref="G16:I16" si="10">G11/G12</f>
        <v>0.08417743626</v>
      </c>
      <c r="H16" s="380">
        <f t="shared" si="10"/>
        <v>0.1598778004</v>
      </c>
      <c r="I16" s="380">
        <f t="shared" si="10"/>
        <v>0.2322426177</v>
      </c>
      <c r="J16" s="389">
        <f t="shared" si="7"/>
        <v>0.4762978544</v>
      </c>
      <c r="K16" s="355">
        <f t="shared" si="8"/>
        <v>104.177678</v>
      </c>
    </row>
    <row r="17" ht="30.75" customHeight="1">
      <c r="A17" s="369"/>
      <c r="B17" s="370" t="s">
        <v>574</v>
      </c>
      <c r="C17" s="381">
        <v>18.0</v>
      </c>
      <c r="D17" s="372">
        <v>22.0</v>
      </c>
      <c r="E17" s="404">
        <f t="shared" si="2"/>
        <v>40</v>
      </c>
      <c r="F17" s="373">
        <f t="shared" si="11"/>
        <v>0.2222222222</v>
      </c>
      <c r="G17" s="372">
        <v>45.0</v>
      </c>
      <c r="H17" s="372">
        <v>23.0</v>
      </c>
      <c r="I17" s="372">
        <v>61.0</v>
      </c>
      <c r="J17" s="404">
        <f t="shared" si="7"/>
        <v>129</v>
      </c>
      <c r="K17" s="373">
        <f t="shared" si="8"/>
        <v>2.225</v>
      </c>
    </row>
    <row r="18">
      <c r="C18" s="382"/>
      <c r="H18" s="174"/>
    </row>
    <row r="19">
      <c r="C19" s="382"/>
      <c r="H19" s="174"/>
    </row>
    <row r="20">
      <c r="C20" s="382"/>
      <c r="H20" s="174"/>
    </row>
    <row r="21">
      <c r="C21" s="382"/>
      <c r="H21" s="174"/>
    </row>
    <row r="22">
      <c r="C22" s="382"/>
      <c r="H22" s="174"/>
    </row>
    <row r="23">
      <c r="C23" s="382"/>
      <c r="H23" s="174"/>
    </row>
    <row r="24">
      <c r="C24" s="382"/>
      <c r="H24" s="174"/>
    </row>
    <row r="25">
      <c r="C25" s="382"/>
      <c r="H25" s="174"/>
    </row>
    <row r="26">
      <c r="C26" s="382"/>
      <c r="H26" s="174"/>
    </row>
    <row r="27">
      <c r="C27" s="382"/>
      <c r="H27" s="174"/>
    </row>
    <row r="28">
      <c r="C28" s="382"/>
      <c r="H28" s="174"/>
    </row>
    <row r="29">
      <c r="C29" s="382"/>
      <c r="H29" s="174"/>
    </row>
    <row r="30">
      <c r="C30" s="382"/>
      <c r="H30" s="174"/>
    </row>
    <row r="31">
      <c r="C31" s="382"/>
      <c r="H31" s="174"/>
    </row>
    <row r="32">
      <c r="C32" s="382"/>
      <c r="H32" s="174"/>
    </row>
    <row r="33">
      <c r="C33" s="382"/>
      <c r="H33" s="174"/>
    </row>
    <row r="34">
      <c r="C34" s="382"/>
      <c r="H34" s="174"/>
    </row>
    <row r="35">
      <c r="C35" s="382"/>
      <c r="H35" s="174"/>
    </row>
    <row r="36">
      <c r="C36" s="382"/>
      <c r="H36" s="174"/>
    </row>
    <row r="37">
      <c r="C37" s="382"/>
      <c r="H37" s="174"/>
    </row>
    <row r="38">
      <c r="C38" s="382"/>
      <c r="H38" s="174"/>
    </row>
    <row r="39">
      <c r="C39" s="382"/>
      <c r="H39" s="174"/>
    </row>
    <row r="40">
      <c r="C40" s="382"/>
      <c r="H40" s="174"/>
    </row>
    <row r="41">
      <c r="C41" s="382"/>
      <c r="H41" s="174"/>
    </row>
    <row r="42">
      <c r="C42" s="382"/>
      <c r="H42" s="174"/>
    </row>
    <row r="43">
      <c r="C43" s="382"/>
      <c r="H43" s="174"/>
    </row>
    <row r="44">
      <c r="C44" s="382"/>
      <c r="H44" s="174"/>
    </row>
    <row r="45">
      <c r="C45" s="382"/>
      <c r="H45" s="174"/>
    </row>
    <row r="46">
      <c r="C46" s="382"/>
      <c r="H46" s="174"/>
    </row>
    <row r="47">
      <c r="C47" s="382"/>
      <c r="H47" s="174"/>
    </row>
    <row r="48">
      <c r="C48" s="382"/>
      <c r="H48" s="174"/>
    </row>
    <row r="49">
      <c r="C49" s="382"/>
      <c r="H49" s="174"/>
    </row>
    <row r="50">
      <c r="C50" s="382"/>
      <c r="H50" s="174"/>
    </row>
    <row r="51">
      <c r="C51" s="382"/>
      <c r="H51" s="174"/>
    </row>
    <row r="52">
      <c r="C52" s="382"/>
      <c r="H52" s="174"/>
    </row>
    <row r="53">
      <c r="C53" s="382"/>
      <c r="H53" s="174"/>
    </row>
    <row r="54">
      <c r="C54" s="382"/>
      <c r="H54" s="174"/>
    </row>
    <row r="55">
      <c r="C55" s="382"/>
      <c r="H55" s="174"/>
    </row>
    <row r="56">
      <c r="C56" s="382"/>
      <c r="H56" s="174"/>
    </row>
    <row r="57">
      <c r="C57" s="382"/>
      <c r="H57" s="174"/>
    </row>
    <row r="58">
      <c r="C58" s="382"/>
      <c r="H58" s="174"/>
    </row>
    <row r="59">
      <c r="C59" s="382"/>
      <c r="H59" s="174"/>
    </row>
    <row r="60">
      <c r="C60" s="382"/>
      <c r="H60" s="174"/>
    </row>
    <row r="61">
      <c r="C61" s="382"/>
      <c r="H61" s="174"/>
    </row>
    <row r="62">
      <c r="C62" s="382"/>
      <c r="H62" s="174"/>
    </row>
    <row r="63">
      <c r="C63" s="382"/>
      <c r="H63" s="174"/>
    </row>
    <row r="64">
      <c r="C64" s="382"/>
      <c r="H64" s="174"/>
    </row>
    <row r="65">
      <c r="C65" s="382"/>
      <c r="H65" s="174"/>
    </row>
    <row r="66">
      <c r="C66" s="382"/>
      <c r="H66" s="174"/>
    </row>
    <row r="67">
      <c r="C67" s="382"/>
      <c r="H67" s="174"/>
    </row>
    <row r="68">
      <c r="C68" s="382"/>
      <c r="H68" s="174"/>
    </row>
    <row r="69">
      <c r="C69" s="382"/>
      <c r="H69" s="174"/>
    </row>
    <row r="70">
      <c r="C70" s="382"/>
      <c r="H70" s="174"/>
    </row>
    <row r="71">
      <c r="C71" s="382"/>
      <c r="H71" s="174"/>
    </row>
    <row r="72">
      <c r="C72" s="382"/>
      <c r="H72" s="174"/>
    </row>
    <row r="73">
      <c r="C73" s="382"/>
      <c r="H73" s="174"/>
    </row>
    <row r="74">
      <c r="C74" s="382"/>
      <c r="H74" s="174"/>
    </row>
    <row r="75">
      <c r="C75" s="382"/>
      <c r="H75" s="174"/>
    </row>
    <row r="76">
      <c r="C76" s="382"/>
      <c r="H76" s="174"/>
    </row>
    <row r="77">
      <c r="C77" s="382"/>
      <c r="H77" s="174"/>
    </row>
    <row r="78">
      <c r="C78" s="382"/>
      <c r="H78" s="174"/>
    </row>
    <row r="79">
      <c r="C79" s="382"/>
      <c r="H79" s="174"/>
    </row>
    <row r="80">
      <c r="C80" s="382"/>
      <c r="H80" s="174"/>
    </row>
    <row r="81">
      <c r="C81" s="382"/>
      <c r="H81" s="174"/>
    </row>
    <row r="82">
      <c r="C82" s="382"/>
      <c r="H82" s="174"/>
    </row>
    <row r="83">
      <c r="C83" s="382"/>
      <c r="H83" s="174"/>
    </row>
    <row r="84">
      <c r="C84" s="382"/>
      <c r="H84" s="174"/>
    </row>
    <row r="85">
      <c r="C85" s="382"/>
      <c r="H85" s="174"/>
    </row>
    <row r="86">
      <c r="C86" s="382"/>
      <c r="H86" s="174"/>
    </row>
    <row r="87">
      <c r="C87" s="382"/>
      <c r="H87" s="174"/>
    </row>
    <row r="88">
      <c r="C88" s="382"/>
      <c r="H88" s="174"/>
    </row>
    <row r="89">
      <c r="C89" s="382"/>
      <c r="H89" s="174"/>
    </row>
    <row r="90">
      <c r="C90" s="382"/>
      <c r="H90" s="174"/>
    </row>
    <row r="91">
      <c r="C91" s="382"/>
      <c r="H91" s="174"/>
    </row>
    <row r="92">
      <c r="C92" s="382"/>
      <c r="H92" s="174"/>
    </row>
    <row r="93">
      <c r="C93" s="382"/>
      <c r="H93" s="174"/>
    </row>
    <row r="94">
      <c r="C94" s="382"/>
      <c r="H94" s="174"/>
    </row>
    <row r="95">
      <c r="C95" s="382"/>
      <c r="H95" s="174"/>
    </row>
    <row r="96">
      <c r="C96" s="382"/>
      <c r="H96" s="174"/>
    </row>
    <row r="97">
      <c r="C97" s="382"/>
      <c r="H97" s="174"/>
    </row>
    <row r="98">
      <c r="C98" s="382"/>
      <c r="H98" s="174"/>
    </row>
    <row r="99">
      <c r="C99" s="382"/>
      <c r="H99" s="174"/>
    </row>
    <row r="100">
      <c r="C100" s="382"/>
      <c r="H100" s="174"/>
    </row>
    <row r="101">
      <c r="C101" s="382"/>
      <c r="H101" s="174"/>
    </row>
    <row r="102">
      <c r="C102" s="382"/>
      <c r="H102" s="174"/>
    </row>
    <row r="103">
      <c r="C103" s="382"/>
      <c r="H103" s="174"/>
    </row>
    <row r="104">
      <c r="C104" s="382"/>
      <c r="H104" s="174"/>
    </row>
    <row r="105">
      <c r="C105" s="382"/>
      <c r="H105" s="174"/>
    </row>
    <row r="106">
      <c r="C106" s="382"/>
      <c r="H106" s="174"/>
    </row>
    <row r="107">
      <c r="C107" s="382"/>
      <c r="H107" s="174"/>
    </row>
    <row r="108">
      <c r="C108" s="382"/>
      <c r="H108" s="174"/>
    </row>
    <row r="109">
      <c r="C109" s="382"/>
      <c r="H109" s="174"/>
    </row>
    <row r="110">
      <c r="C110" s="382"/>
      <c r="H110" s="174"/>
    </row>
    <row r="111">
      <c r="C111" s="382"/>
      <c r="H111" s="174"/>
    </row>
    <row r="112">
      <c r="C112" s="382"/>
      <c r="H112" s="174"/>
    </row>
    <row r="113">
      <c r="C113" s="382"/>
      <c r="H113" s="174"/>
    </row>
    <row r="114">
      <c r="C114" s="382"/>
      <c r="H114" s="174"/>
    </row>
    <row r="115">
      <c r="C115" s="382"/>
      <c r="H115" s="174"/>
    </row>
    <row r="116">
      <c r="C116" s="382"/>
      <c r="H116" s="174"/>
    </row>
    <row r="117">
      <c r="C117" s="382"/>
      <c r="H117" s="174"/>
    </row>
    <row r="118">
      <c r="C118" s="382"/>
      <c r="H118" s="174"/>
    </row>
    <row r="119">
      <c r="C119" s="382"/>
      <c r="H119" s="174"/>
    </row>
    <row r="120">
      <c r="C120" s="382"/>
      <c r="H120" s="174"/>
    </row>
    <row r="121">
      <c r="C121" s="382"/>
      <c r="H121" s="174"/>
    </row>
    <row r="122">
      <c r="C122" s="382"/>
      <c r="H122" s="174"/>
    </row>
    <row r="123">
      <c r="C123" s="382"/>
      <c r="H123" s="174"/>
    </row>
    <row r="124">
      <c r="C124" s="382"/>
      <c r="H124" s="174"/>
    </row>
    <row r="125">
      <c r="C125" s="382"/>
      <c r="H125" s="174"/>
    </row>
    <row r="126">
      <c r="C126" s="382"/>
      <c r="H126" s="174"/>
    </row>
    <row r="127">
      <c r="C127" s="382"/>
      <c r="H127" s="174"/>
    </row>
    <row r="128">
      <c r="C128" s="382"/>
      <c r="H128" s="174"/>
    </row>
    <row r="129">
      <c r="C129" s="382"/>
      <c r="H129" s="174"/>
    </row>
    <row r="130">
      <c r="C130" s="382"/>
      <c r="H130" s="174"/>
    </row>
    <row r="131">
      <c r="C131" s="382"/>
      <c r="H131" s="174"/>
    </row>
    <row r="132">
      <c r="C132" s="382"/>
      <c r="H132" s="174"/>
    </row>
    <row r="133">
      <c r="C133" s="382"/>
      <c r="H133" s="174"/>
    </row>
    <row r="134">
      <c r="C134" s="382"/>
      <c r="H134" s="174"/>
    </row>
    <row r="135">
      <c r="C135" s="382"/>
      <c r="H135" s="174"/>
    </row>
    <row r="136">
      <c r="C136" s="382"/>
      <c r="H136" s="174"/>
    </row>
    <row r="137">
      <c r="C137" s="382"/>
      <c r="H137" s="174"/>
    </row>
    <row r="138">
      <c r="C138" s="382"/>
      <c r="H138" s="174"/>
    </row>
    <row r="139">
      <c r="C139" s="382"/>
      <c r="H139" s="174"/>
    </row>
    <row r="140">
      <c r="C140" s="382"/>
      <c r="H140" s="174"/>
    </row>
    <row r="141">
      <c r="C141" s="382"/>
      <c r="H141" s="174"/>
    </row>
    <row r="142">
      <c r="C142" s="382"/>
      <c r="H142" s="174"/>
    </row>
    <row r="143">
      <c r="C143" s="382"/>
      <c r="H143" s="174"/>
    </row>
    <row r="144">
      <c r="C144" s="382"/>
      <c r="H144" s="174"/>
    </row>
    <row r="145">
      <c r="C145" s="382"/>
      <c r="H145" s="174"/>
    </row>
    <row r="146">
      <c r="C146" s="382"/>
      <c r="H146" s="174"/>
    </row>
    <row r="147">
      <c r="C147" s="382"/>
      <c r="H147" s="174"/>
    </row>
    <row r="148">
      <c r="C148" s="382"/>
      <c r="H148" s="174"/>
    </row>
    <row r="149">
      <c r="C149" s="382"/>
      <c r="H149" s="174"/>
    </row>
    <row r="150">
      <c r="C150" s="382"/>
      <c r="H150" s="174"/>
    </row>
    <row r="151">
      <c r="C151" s="382"/>
      <c r="H151" s="174"/>
    </row>
    <row r="152">
      <c r="C152" s="382"/>
      <c r="H152" s="174"/>
    </row>
    <row r="153">
      <c r="C153" s="382"/>
      <c r="H153" s="174"/>
    </row>
    <row r="154">
      <c r="C154" s="382"/>
      <c r="H154" s="174"/>
    </row>
    <row r="155">
      <c r="C155" s="382"/>
      <c r="H155" s="174"/>
    </row>
    <row r="156">
      <c r="C156" s="382"/>
      <c r="H156" s="174"/>
    </row>
    <row r="157">
      <c r="C157" s="382"/>
      <c r="H157" s="174"/>
    </row>
    <row r="158">
      <c r="C158" s="382"/>
      <c r="H158" s="174"/>
    </row>
    <row r="159">
      <c r="C159" s="382"/>
      <c r="H159" s="174"/>
    </row>
    <row r="160">
      <c r="C160" s="382"/>
      <c r="H160" s="174"/>
    </row>
    <row r="161">
      <c r="C161" s="382"/>
      <c r="H161" s="174"/>
    </row>
    <row r="162">
      <c r="C162" s="382"/>
      <c r="H162" s="174"/>
    </row>
    <row r="163">
      <c r="C163" s="382"/>
      <c r="H163" s="174"/>
    </row>
    <row r="164">
      <c r="C164" s="382"/>
      <c r="H164" s="174"/>
    </row>
    <row r="165">
      <c r="C165" s="382"/>
      <c r="H165" s="174"/>
    </row>
    <row r="166">
      <c r="C166" s="382"/>
      <c r="H166" s="174"/>
    </row>
    <row r="167">
      <c r="C167" s="382"/>
      <c r="H167" s="174"/>
    </row>
    <row r="168">
      <c r="C168" s="382"/>
      <c r="H168" s="174"/>
    </row>
    <row r="169">
      <c r="C169" s="382"/>
      <c r="H169" s="174"/>
    </row>
    <row r="170">
      <c r="C170" s="382"/>
      <c r="H170" s="174"/>
    </row>
    <row r="171">
      <c r="C171" s="382"/>
      <c r="H171" s="174"/>
    </row>
    <row r="172">
      <c r="C172" s="382"/>
      <c r="H172" s="174"/>
    </row>
    <row r="173">
      <c r="C173" s="382"/>
      <c r="H173" s="174"/>
    </row>
    <row r="174">
      <c r="C174" s="382"/>
      <c r="H174" s="174"/>
    </row>
    <row r="175">
      <c r="C175" s="382"/>
      <c r="H175" s="174"/>
    </row>
    <row r="176">
      <c r="C176" s="382"/>
      <c r="H176" s="174"/>
    </row>
    <row r="177">
      <c r="C177" s="382"/>
      <c r="H177" s="174"/>
    </row>
    <row r="178">
      <c r="C178" s="382"/>
      <c r="H178" s="174"/>
    </row>
    <row r="179">
      <c r="C179" s="382"/>
      <c r="H179" s="174"/>
    </row>
    <row r="180">
      <c r="C180" s="382"/>
      <c r="H180" s="174"/>
    </row>
    <row r="181">
      <c r="C181" s="382"/>
      <c r="H181" s="174"/>
    </row>
    <row r="182">
      <c r="C182" s="382"/>
      <c r="H182" s="174"/>
    </row>
    <row r="183">
      <c r="C183" s="382"/>
      <c r="H183" s="174"/>
    </row>
    <row r="184">
      <c r="C184" s="382"/>
      <c r="H184" s="174"/>
    </row>
    <row r="185">
      <c r="C185" s="382"/>
      <c r="H185" s="174"/>
    </row>
    <row r="186">
      <c r="C186" s="382"/>
      <c r="H186" s="174"/>
    </row>
    <row r="187">
      <c r="C187" s="382"/>
      <c r="H187" s="174"/>
    </row>
    <row r="188">
      <c r="C188" s="382"/>
      <c r="H188" s="174"/>
    </row>
    <row r="189">
      <c r="C189" s="382"/>
      <c r="H189" s="174"/>
    </row>
    <row r="190">
      <c r="C190" s="382"/>
      <c r="H190" s="174"/>
    </row>
    <row r="191">
      <c r="C191" s="382"/>
      <c r="H191" s="174"/>
    </row>
    <row r="192">
      <c r="C192" s="382"/>
      <c r="H192" s="174"/>
    </row>
    <row r="193">
      <c r="C193" s="382"/>
      <c r="H193" s="174"/>
    </row>
    <row r="194">
      <c r="C194" s="382"/>
      <c r="H194" s="174"/>
    </row>
    <row r="195">
      <c r="C195" s="382"/>
      <c r="H195" s="174"/>
    </row>
    <row r="196">
      <c r="C196" s="382"/>
      <c r="H196" s="174"/>
    </row>
    <row r="197">
      <c r="C197" s="382"/>
      <c r="H197" s="174"/>
    </row>
    <row r="198">
      <c r="C198" s="382"/>
      <c r="H198" s="174"/>
    </row>
    <row r="199">
      <c r="C199" s="382"/>
      <c r="H199" s="174"/>
    </row>
    <row r="200">
      <c r="C200" s="382"/>
      <c r="H200" s="174"/>
    </row>
    <row r="201">
      <c r="C201" s="382"/>
      <c r="H201" s="174"/>
    </row>
    <row r="202">
      <c r="C202" s="382"/>
      <c r="H202" s="174"/>
    </row>
    <row r="203">
      <c r="C203" s="382"/>
      <c r="H203" s="174"/>
    </row>
    <row r="204">
      <c r="C204" s="382"/>
      <c r="H204" s="174"/>
    </row>
    <row r="205">
      <c r="C205" s="382"/>
      <c r="H205" s="174"/>
    </row>
    <row r="206">
      <c r="C206" s="382"/>
      <c r="H206" s="174"/>
    </row>
    <row r="207">
      <c r="C207" s="382"/>
      <c r="H207" s="174"/>
    </row>
    <row r="208">
      <c r="C208" s="382"/>
      <c r="H208" s="174"/>
    </row>
    <row r="209">
      <c r="C209" s="382"/>
      <c r="H209" s="174"/>
    </row>
    <row r="210">
      <c r="C210" s="382"/>
      <c r="H210" s="174"/>
    </row>
    <row r="211">
      <c r="C211" s="382"/>
      <c r="H211" s="174"/>
    </row>
    <row r="212">
      <c r="C212" s="382"/>
      <c r="H212" s="174"/>
    </row>
    <row r="213">
      <c r="C213" s="382"/>
      <c r="H213" s="174"/>
    </row>
    <row r="214">
      <c r="C214" s="382"/>
      <c r="H214" s="174"/>
    </row>
    <row r="215">
      <c r="C215" s="382"/>
      <c r="H215" s="174"/>
    </row>
    <row r="216">
      <c r="C216" s="382"/>
      <c r="H216" s="174"/>
    </row>
    <row r="217">
      <c r="C217" s="382"/>
      <c r="H217" s="174"/>
    </row>
    <row r="218">
      <c r="C218" s="382"/>
      <c r="H218" s="174"/>
    </row>
    <row r="219">
      <c r="C219" s="382"/>
      <c r="H219" s="174"/>
    </row>
    <row r="220">
      <c r="C220" s="382"/>
      <c r="H220" s="174"/>
    </row>
    <row r="221">
      <c r="C221" s="382"/>
      <c r="H221" s="174"/>
    </row>
    <row r="222">
      <c r="C222" s="382"/>
      <c r="H222" s="174"/>
    </row>
    <row r="223">
      <c r="C223" s="382"/>
      <c r="H223" s="174"/>
    </row>
    <row r="224">
      <c r="C224" s="382"/>
      <c r="H224" s="174"/>
    </row>
    <row r="225">
      <c r="C225" s="382"/>
      <c r="H225" s="174"/>
    </row>
    <row r="226">
      <c r="C226" s="382"/>
      <c r="H226" s="174"/>
    </row>
    <row r="227">
      <c r="C227" s="382"/>
      <c r="H227" s="174"/>
    </row>
    <row r="228">
      <c r="C228" s="382"/>
      <c r="H228" s="174"/>
    </row>
    <row r="229">
      <c r="C229" s="382"/>
      <c r="H229" s="174"/>
    </row>
    <row r="230">
      <c r="C230" s="382"/>
      <c r="H230" s="174"/>
    </row>
    <row r="231">
      <c r="C231" s="382"/>
      <c r="H231" s="174"/>
    </row>
    <row r="232">
      <c r="C232" s="382"/>
      <c r="H232" s="174"/>
    </row>
    <row r="233">
      <c r="C233" s="382"/>
      <c r="H233" s="174"/>
    </row>
    <row r="234">
      <c r="C234" s="382"/>
      <c r="H234" s="174"/>
    </row>
    <row r="235">
      <c r="C235" s="382"/>
      <c r="H235" s="174"/>
    </row>
    <row r="236">
      <c r="C236" s="382"/>
      <c r="H236" s="174"/>
    </row>
    <row r="237">
      <c r="C237" s="382"/>
      <c r="H237" s="174"/>
    </row>
    <row r="238">
      <c r="C238" s="382"/>
      <c r="H238" s="174"/>
    </row>
    <row r="239">
      <c r="C239" s="382"/>
      <c r="H239" s="174"/>
    </row>
    <row r="240">
      <c r="C240" s="382"/>
      <c r="H240" s="174"/>
    </row>
    <row r="241">
      <c r="C241" s="382"/>
      <c r="H241" s="174"/>
    </row>
    <row r="242">
      <c r="C242" s="382"/>
      <c r="H242" s="174"/>
    </row>
    <row r="243">
      <c r="C243" s="382"/>
      <c r="H243" s="174"/>
    </row>
    <row r="244">
      <c r="C244" s="382"/>
      <c r="H244" s="174"/>
    </row>
    <row r="245">
      <c r="C245" s="382"/>
      <c r="H245" s="174"/>
    </row>
    <row r="246">
      <c r="C246" s="382"/>
      <c r="H246" s="174"/>
    </row>
    <row r="247">
      <c r="C247" s="382"/>
      <c r="H247" s="174"/>
    </row>
    <row r="248">
      <c r="C248" s="382"/>
      <c r="H248" s="174"/>
    </row>
    <row r="249">
      <c r="C249" s="382"/>
      <c r="H249" s="174"/>
    </row>
    <row r="250">
      <c r="C250" s="382"/>
      <c r="H250" s="174"/>
    </row>
    <row r="251">
      <c r="C251" s="382"/>
      <c r="H251" s="174"/>
    </row>
    <row r="252">
      <c r="C252" s="382"/>
      <c r="H252" s="174"/>
    </row>
    <row r="253">
      <c r="C253" s="382"/>
      <c r="H253" s="174"/>
    </row>
    <row r="254">
      <c r="C254" s="382"/>
      <c r="H254" s="174"/>
    </row>
    <row r="255">
      <c r="C255" s="382"/>
      <c r="H255" s="174"/>
    </row>
    <row r="256">
      <c r="C256" s="382"/>
      <c r="H256" s="174"/>
    </row>
    <row r="257">
      <c r="C257" s="382"/>
      <c r="H257" s="174"/>
    </row>
    <row r="258">
      <c r="C258" s="382"/>
      <c r="H258" s="174"/>
    </row>
    <row r="259">
      <c r="C259" s="382"/>
      <c r="H259" s="174"/>
    </row>
    <row r="260">
      <c r="C260" s="382"/>
      <c r="H260" s="174"/>
    </row>
    <row r="261">
      <c r="C261" s="382"/>
      <c r="H261" s="174"/>
    </row>
    <row r="262">
      <c r="C262" s="382"/>
      <c r="H262" s="174"/>
    </row>
    <row r="263">
      <c r="C263" s="382"/>
      <c r="H263" s="174"/>
    </row>
    <row r="264">
      <c r="C264" s="382"/>
      <c r="H264" s="174"/>
    </row>
    <row r="265">
      <c r="C265" s="382"/>
      <c r="H265" s="174"/>
    </row>
    <row r="266">
      <c r="C266" s="382"/>
      <c r="H266" s="174"/>
    </row>
    <row r="267">
      <c r="C267" s="382"/>
      <c r="H267" s="174"/>
    </row>
    <row r="268">
      <c r="C268" s="382"/>
      <c r="H268" s="174"/>
    </row>
    <row r="269">
      <c r="C269" s="382"/>
      <c r="H269" s="174"/>
    </row>
    <row r="270">
      <c r="C270" s="382"/>
      <c r="H270" s="174"/>
    </row>
    <row r="271">
      <c r="C271" s="382"/>
      <c r="H271" s="174"/>
    </row>
    <row r="272">
      <c r="C272" s="382"/>
      <c r="H272" s="174"/>
    </row>
    <row r="273">
      <c r="C273" s="382"/>
      <c r="H273" s="174"/>
    </row>
    <row r="274">
      <c r="C274" s="382"/>
      <c r="H274" s="174"/>
    </row>
    <row r="275">
      <c r="C275" s="382"/>
      <c r="H275" s="174"/>
    </row>
    <row r="276">
      <c r="C276" s="382"/>
      <c r="H276" s="174"/>
    </row>
    <row r="277">
      <c r="C277" s="382"/>
      <c r="H277" s="174"/>
    </row>
    <row r="278">
      <c r="C278" s="382"/>
      <c r="H278" s="174"/>
    </row>
    <row r="279">
      <c r="C279" s="382"/>
      <c r="H279" s="174"/>
    </row>
    <row r="280">
      <c r="C280" s="382"/>
      <c r="H280" s="174"/>
    </row>
    <row r="281">
      <c r="C281" s="382"/>
      <c r="H281" s="174"/>
    </row>
    <row r="282">
      <c r="C282" s="382"/>
      <c r="H282" s="174"/>
    </row>
    <row r="283">
      <c r="C283" s="382"/>
      <c r="H283" s="174"/>
    </row>
    <row r="284">
      <c r="C284" s="382"/>
      <c r="H284" s="174"/>
    </row>
    <row r="285">
      <c r="C285" s="382"/>
      <c r="H285" s="174"/>
    </row>
    <row r="286">
      <c r="C286" s="382"/>
      <c r="H286" s="174"/>
    </row>
    <row r="287">
      <c r="C287" s="382"/>
      <c r="H287" s="174"/>
    </row>
    <row r="288">
      <c r="C288" s="382"/>
      <c r="H288" s="174"/>
    </row>
    <row r="289">
      <c r="C289" s="382"/>
      <c r="H289" s="174"/>
    </row>
    <row r="290">
      <c r="C290" s="382"/>
      <c r="H290" s="174"/>
    </row>
    <row r="291">
      <c r="C291" s="382"/>
      <c r="H291" s="174"/>
    </row>
    <row r="292">
      <c r="C292" s="382"/>
      <c r="H292" s="174"/>
    </row>
    <row r="293">
      <c r="C293" s="382"/>
      <c r="H293" s="174"/>
    </row>
    <row r="294">
      <c r="C294" s="382"/>
      <c r="H294" s="174"/>
    </row>
    <row r="295">
      <c r="C295" s="382"/>
      <c r="H295" s="174"/>
    </row>
    <row r="296">
      <c r="C296" s="382"/>
      <c r="H296" s="174"/>
    </row>
    <row r="297">
      <c r="C297" s="382"/>
      <c r="H297" s="174"/>
    </row>
    <row r="298">
      <c r="C298" s="382"/>
      <c r="H298" s="174"/>
    </row>
    <row r="299">
      <c r="C299" s="382"/>
      <c r="H299" s="174"/>
    </row>
    <row r="300">
      <c r="C300" s="382"/>
      <c r="H300" s="174"/>
    </row>
    <row r="301">
      <c r="C301" s="382"/>
      <c r="H301" s="174"/>
    </row>
    <row r="302">
      <c r="C302" s="382"/>
      <c r="H302" s="174"/>
    </row>
    <row r="303">
      <c r="C303" s="382"/>
      <c r="H303" s="174"/>
    </row>
    <row r="304">
      <c r="C304" s="382"/>
      <c r="H304" s="174"/>
    </row>
    <row r="305">
      <c r="C305" s="382"/>
      <c r="H305" s="174"/>
    </row>
    <row r="306">
      <c r="C306" s="382"/>
      <c r="H306" s="174"/>
    </row>
    <row r="307">
      <c r="C307" s="382"/>
      <c r="H307" s="174"/>
    </row>
    <row r="308">
      <c r="C308" s="382"/>
      <c r="H308" s="174"/>
    </row>
    <row r="309">
      <c r="C309" s="382"/>
      <c r="H309" s="174"/>
    </row>
    <row r="310">
      <c r="C310" s="382"/>
      <c r="H310" s="174"/>
    </row>
    <row r="311">
      <c r="C311" s="382"/>
      <c r="H311" s="174"/>
    </row>
    <row r="312">
      <c r="C312" s="382"/>
      <c r="H312" s="174"/>
    </row>
    <row r="313">
      <c r="C313" s="382"/>
      <c r="H313" s="174"/>
    </row>
    <row r="314">
      <c r="C314" s="382"/>
      <c r="H314" s="174"/>
    </row>
    <row r="315">
      <c r="C315" s="382"/>
      <c r="H315" s="174"/>
    </row>
    <row r="316">
      <c r="C316" s="382"/>
      <c r="H316" s="174"/>
    </row>
    <row r="317">
      <c r="C317" s="382"/>
      <c r="H317" s="174"/>
    </row>
    <row r="318">
      <c r="C318" s="382"/>
      <c r="H318" s="174"/>
    </row>
    <row r="319">
      <c r="C319" s="382"/>
      <c r="H319" s="174"/>
    </row>
    <row r="320">
      <c r="C320" s="382"/>
      <c r="H320" s="174"/>
    </row>
    <row r="321">
      <c r="C321" s="382"/>
      <c r="H321" s="174"/>
    </row>
    <row r="322">
      <c r="C322" s="382"/>
      <c r="H322" s="174"/>
    </row>
    <row r="323">
      <c r="C323" s="382"/>
      <c r="H323" s="174"/>
    </row>
    <row r="324">
      <c r="C324" s="382"/>
      <c r="H324" s="174"/>
    </row>
    <row r="325">
      <c r="C325" s="382"/>
      <c r="H325" s="174"/>
    </row>
    <row r="326">
      <c r="C326" s="382"/>
      <c r="H326" s="174"/>
    </row>
    <row r="327">
      <c r="C327" s="382"/>
      <c r="H327" s="174"/>
    </row>
    <row r="328">
      <c r="C328" s="382"/>
      <c r="H328" s="174"/>
    </row>
    <row r="329">
      <c r="C329" s="382"/>
      <c r="H329" s="174"/>
    </row>
    <row r="330">
      <c r="C330" s="382"/>
      <c r="H330" s="174"/>
    </row>
    <row r="331">
      <c r="C331" s="382"/>
      <c r="H331" s="174"/>
    </row>
    <row r="332">
      <c r="C332" s="382"/>
      <c r="H332" s="174"/>
    </row>
    <row r="333">
      <c r="C333" s="382"/>
      <c r="H333" s="174"/>
    </row>
    <row r="334">
      <c r="C334" s="382"/>
      <c r="H334" s="174"/>
    </row>
    <row r="335">
      <c r="C335" s="382"/>
      <c r="H335" s="174"/>
    </row>
    <row r="336">
      <c r="C336" s="382"/>
      <c r="H336" s="174"/>
    </row>
    <row r="337">
      <c r="C337" s="382"/>
      <c r="H337" s="174"/>
    </row>
    <row r="338">
      <c r="C338" s="382"/>
      <c r="H338" s="174"/>
    </row>
    <row r="339">
      <c r="C339" s="382"/>
      <c r="H339" s="174"/>
    </row>
    <row r="340">
      <c r="C340" s="382"/>
      <c r="H340" s="174"/>
    </row>
    <row r="341">
      <c r="C341" s="382"/>
      <c r="H341" s="174"/>
    </row>
    <row r="342">
      <c r="C342" s="382"/>
      <c r="H342" s="174"/>
    </row>
    <row r="343">
      <c r="C343" s="382"/>
      <c r="H343" s="174"/>
    </row>
    <row r="344">
      <c r="C344" s="382"/>
      <c r="H344" s="174"/>
    </row>
    <row r="345">
      <c r="C345" s="382"/>
      <c r="H345" s="174"/>
    </row>
    <row r="346">
      <c r="C346" s="382"/>
      <c r="H346" s="174"/>
    </row>
    <row r="347">
      <c r="C347" s="382"/>
      <c r="H347" s="174"/>
    </row>
    <row r="348">
      <c r="C348" s="382"/>
      <c r="H348" s="174"/>
    </row>
    <row r="349">
      <c r="C349" s="382"/>
      <c r="H349" s="174"/>
    </row>
    <row r="350">
      <c r="C350" s="382"/>
      <c r="H350" s="174"/>
    </row>
    <row r="351">
      <c r="C351" s="382"/>
      <c r="H351" s="174"/>
    </row>
    <row r="352">
      <c r="C352" s="382"/>
      <c r="H352" s="174"/>
    </row>
    <row r="353">
      <c r="C353" s="382"/>
      <c r="H353" s="174"/>
    </row>
    <row r="354">
      <c r="C354" s="382"/>
      <c r="H354" s="174"/>
    </row>
    <row r="355">
      <c r="C355" s="382"/>
      <c r="H355" s="174"/>
    </row>
    <row r="356">
      <c r="C356" s="382"/>
      <c r="H356" s="174"/>
    </row>
    <row r="357">
      <c r="C357" s="382"/>
      <c r="H357" s="174"/>
    </row>
    <row r="358">
      <c r="C358" s="382"/>
      <c r="H358" s="174"/>
    </row>
    <row r="359">
      <c r="C359" s="382"/>
      <c r="H359" s="174"/>
    </row>
    <row r="360">
      <c r="C360" s="382"/>
      <c r="H360" s="174"/>
    </row>
    <row r="361">
      <c r="C361" s="382"/>
      <c r="H361" s="174"/>
    </row>
    <row r="362">
      <c r="C362" s="382"/>
      <c r="H362" s="174"/>
    </row>
    <row r="363">
      <c r="C363" s="382"/>
      <c r="H363" s="174"/>
    </row>
    <row r="364">
      <c r="C364" s="382"/>
      <c r="H364" s="174"/>
    </row>
    <row r="365">
      <c r="C365" s="382"/>
      <c r="H365" s="174"/>
    </row>
    <row r="366">
      <c r="C366" s="382"/>
      <c r="H366" s="174"/>
    </row>
    <row r="367">
      <c r="C367" s="382"/>
      <c r="H367" s="174"/>
    </row>
    <row r="368">
      <c r="C368" s="382"/>
      <c r="H368" s="174"/>
    </row>
    <row r="369">
      <c r="C369" s="382"/>
      <c r="H369" s="174"/>
    </row>
    <row r="370">
      <c r="C370" s="382"/>
      <c r="H370" s="174"/>
    </row>
    <row r="371">
      <c r="C371" s="382"/>
      <c r="H371" s="174"/>
    </row>
    <row r="372">
      <c r="C372" s="382"/>
      <c r="H372" s="174"/>
    </row>
    <row r="373">
      <c r="C373" s="382"/>
      <c r="H373" s="174"/>
    </row>
    <row r="374">
      <c r="C374" s="382"/>
      <c r="H374" s="174"/>
    </row>
    <row r="375">
      <c r="C375" s="382"/>
      <c r="H375" s="174"/>
    </row>
    <row r="376">
      <c r="C376" s="382"/>
      <c r="H376" s="174"/>
    </row>
    <row r="377">
      <c r="C377" s="382"/>
      <c r="H377" s="174"/>
    </row>
    <row r="378">
      <c r="C378" s="382"/>
      <c r="H378" s="174"/>
    </row>
    <row r="379">
      <c r="C379" s="382"/>
      <c r="H379" s="174"/>
    </row>
    <row r="380">
      <c r="C380" s="382"/>
      <c r="H380" s="174"/>
    </row>
    <row r="381">
      <c r="C381" s="382"/>
      <c r="H381" s="174"/>
    </row>
    <row r="382">
      <c r="C382" s="382"/>
      <c r="H382" s="174"/>
    </row>
    <row r="383">
      <c r="C383" s="382"/>
      <c r="H383" s="174"/>
    </row>
    <row r="384">
      <c r="C384" s="382"/>
      <c r="H384" s="174"/>
    </row>
    <row r="385">
      <c r="C385" s="382"/>
      <c r="H385" s="174"/>
    </row>
    <row r="386">
      <c r="C386" s="382"/>
      <c r="H386" s="174"/>
    </row>
    <row r="387">
      <c r="C387" s="382"/>
      <c r="H387" s="174"/>
    </row>
    <row r="388">
      <c r="C388" s="382"/>
      <c r="H388" s="174"/>
    </row>
    <row r="389">
      <c r="C389" s="382"/>
      <c r="H389" s="174"/>
    </row>
    <row r="390">
      <c r="C390" s="382"/>
      <c r="H390" s="174"/>
    </row>
    <row r="391">
      <c r="C391" s="382"/>
      <c r="H391" s="174"/>
    </row>
    <row r="392">
      <c r="C392" s="382"/>
      <c r="H392" s="174"/>
    </row>
    <row r="393">
      <c r="C393" s="382"/>
      <c r="H393" s="174"/>
    </row>
    <row r="394">
      <c r="C394" s="382"/>
      <c r="H394" s="174"/>
    </row>
    <row r="395">
      <c r="C395" s="382"/>
      <c r="H395" s="174"/>
    </row>
    <row r="396">
      <c r="C396" s="382"/>
      <c r="H396" s="174"/>
    </row>
    <row r="397">
      <c r="C397" s="382"/>
      <c r="H397" s="174"/>
    </row>
    <row r="398">
      <c r="C398" s="382"/>
      <c r="H398" s="174"/>
    </row>
    <row r="399">
      <c r="C399" s="382"/>
      <c r="H399" s="174"/>
    </row>
    <row r="400">
      <c r="C400" s="382"/>
      <c r="H400" s="174"/>
    </row>
    <row r="401">
      <c r="C401" s="382"/>
      <c r="H401" s="174"/>
    </row>
    <row r="402">
      <c r="C402" s="382"/>
      <c r="H402" s="174"/>
    </row>
    <row r="403">
      <c r="C403" s="382"/>
      <c r="H403" s="174"/>
    </row>
    <row r="404">
      <c r="C404" s="382"/>
      <c r="H404" s="174"/>
    </row>
    <row r="405">
      <c r="C405" s="382"/>
      <c r="H405" s="174"/>
    </row>
    <row r="406">
      <c r="C406" s="382"/>
      <c r="H406" s="174"/>
    </row>
    <row r="407">
      <c r="C407" s="382"/>
      <c r="H407" s="174"/>
    </row>
    <row r="408">
      <c r="C408" s="382"/>
      <c r="H408" s="174"/>
    </row>
    <row r="409">
      <c r="C409" s="382"/>
      <c r="H409" s="174"/>
    </row>
    <row r="410">
      <c r="C410" s="382"/>
      <c r="H410" s="174"/>
    </row>
    <row r="411">
      <c r="C411" s="382"/>
      <c r="H411" s="174"/>
    </row>
    <row r="412">
      <c r="C412" s="382"/>
      <c r="H412" s="174"/>
    </row>
    <row r="413">
      <c r="C413" s="382"/>
      <c r="H413" s="174"/>
    </row>
    <row r="414">
      <c r="C414" s="382"/>
      <c r="H414" s="174"/>
    </row>
    <row r="415">
      <c r="C415" s="382"/>
      <c r="H415" s="174"/>
    </row>
    <row r="416">
      <c r="C416" s="382"/>
      <c r="H416" s="174"/>
    </row>
    <row r="417">
      <c r="C417" s="382"/>
      <c r="H417" s="174"/>
    </row>
    <row r="418">
      <c r="C418" s="382"/>
      <c r="H418" s="174"/>
    </row>
    <row r="419">
      <c r="C419" s="382"/>
      <c r="H419" s="174"/>
    </row>
    <row r="420">
      <c r="C420" s="382"/>
      <c r="H420" s="174"/>
    </row>
    <row r="421">
      <c r="C421" s="382"/>
      <c r="H421" s="174"/>
    </row>
    <row r="422">
      <c r="C422" s="382"/>
      <c r="H422" s="174"/>
    </row>
    <row r="423">
      <c r="C423" s="382"/>
      <c r="H423" s="174"/>
    </row>
    <row r="424">
      <c r="C424" s="382"/>
      <c r="H424" s="174"/>
    </row>
    <row r="425">
      <c r="C425" s="382"/>
      <c r="H425" s="174"/>
    </row>
    <row r="426">
      <c r="C426" s="382"/>
      <c r="H426" s="174"/>
    </row>
    <row r="427">
      <c r="C427" s="382"/>
      <c r="H427" s="174"/>
    </row>
    <row r="428">
      <c r="C428" s="382"/>
      <c r="H428" s="174"/>
    </row>
    <row r="429">
      <c r="C429" s="382"/>
      <c r="H429" s="174"/>
    </row>
    <row r="430">
      <c r="C430" s="382"/>
      <c r="H430" s="174"/>
    </row>
    <row r="431">
      <c r="C431" s="382"/>
      <c r="H431" s="174"/>
    </row>
    <row r="432">
      <c r="C432" s="382"/>
      <c r="H432" s="174"/>
    </row>
    <row r="433">
      <c r="C433" s="382"/>
      <c r="H433" s="174"/>
    </row>
    <row r="434">
      <c r="C434" s="382"/>
      <c r="H434" s="174"/>
    </row>
    <row r="435">
      <c r="C435" s="382"/>
      <c r="H435" s="174"/>
    </row>
    <row r="436">
      <c r="C436" s="382"/>
      <c r="H436" s="174"/>
    </row>
    <row r="437">
      <c r="C437" s="382"/>
      <c r="H437" s="174"/>
    </row>
    <row r="438">
      <c r="C438" s="382"/>
      <c r="H438" s="174"/>
    </row>
    <row r="439">
      <c r="C439" s="382"/>
      <c r="H439" s="174"/>
    </row>
    <row r="440">
      <c r="C440" s="382"/>
      <c r="H440" s="174"/>
    </row>
    <row r="441">
      <c r="C441" s="382"/>
      <c r="H441" s="174"/>
    </row>
    <row r="442">
      <c r="C442" s="382"/>
      <c r="H442" s="174"/>
    </row>
    <row r="443">
      <c r="C443" s="382"/>
      <c r="H443" s="174"/>
    </row>
    <row r="444">
      <c r="C444" s="382"/>
      <c r="H444" s="174"/>
    </row>
    <row r="445">
      <c r="C445" s="382"/>
      <c r="H445" s="174"/>
    </row>
    <row r="446">
      <c r="C446" s="382"/>
      <c r="H446" s="174"/>
    </row>
    <row r="447">
      <c r="C447" s="382"/>
      <c r="H447" s="174"/>
    </row>
    <row r="448">
      <c r="C448" s="382"/>
      <c r="H448" s="174"/>
    </row>
    <row r="449">
      <c r="C449" s="382"/>
      <c r="H449" s="174"/>
    </row>
    <row r="450">
      <c r="C450" s="382"/>
      <c r="H450" s="174"/>
    </row>
    <row r="451">
      <c r="C451" s="382"/>
      <c r="H451" s="174"/>
    </row>
    <row r="452">
      <c r="C452" s="382"/>
      <c r="H452" s="174"/>
    </row>
    <row r="453">
      <c r="C453" s="382"/>
      <c r="H453" s="174"/>
    </row>
    <row r="454">
      <c r="C454" s="382"/>
      <c r="H454" s="174"/>
    </row>
    <row r="455">
      <c r="C455" s="382"/>
      <c r="H455" s="174"/>
    </row>
    <row r="456">
      <c r="C456" s="382"/>
      <c r="H456" s="174"/>
    </row>
    <row r="457">
      <c r="C457" s="382"/>
      <c r="H457" s="174"/>
    </row>
    <row r="458">
      <c r="C458" s="382"/>
      <c r="H458" s="174"/>
    </row>
    <row r="459">
      <c r="C459" s="382"/>
      <c r="H459" s="174"/>
    </row>
    <row r="460">
      <c r="C460" s="382"/>
      <c r="H460" s="174"/>
    </row>
    <row r="461">
      <c r="C461" s="382"/>
      <c r="H461" s="174"/>
    </row>
    <row r="462">
      <c r="C462" s="382"/>
      <c r="H462" s="174"/>
    </row>
    <row r="463">
      <c r="C463" s="382"/>
      <c r="H463" s="174"/>
    </row>
    <row r="464">
      <c r="C464" s="382"/>
      <c r="H464" s="174"/>
    </row>
    <row r="465">
      <c r="C465" s="382"/>
      <c r="H465" s="174"/>
    </row>
    <row r="466">
      <c r="C466" s="382"/>
      <c r="H466" s="174"/>
    </row>
    <row r="467">
      <c r="C467" s="382"/>
      <c r="H467" s="174"/>
    </row>
    <row r="468">
      <c r="C468" s="382"/>
      <c r="H468" s="174"/>
    </row>
    <row r="469">
      <c r="C469" s="382"/>
      <c r="H469" s="174"/>
    </row>
    <row r="470">
      <c r="C470" s="382"/>
      <c r="H470" s="174"/>
    </row>
    <row r="471">
      <c r="C471" s="382"/>
      <c r="H471" s="174"/>
    </row>
    <row r="472">
      <c r="C472" s="382"/>
      <c r="H472" s="174"/>
    </row>
    <row r="473">
      <c r="C473" s="382"/>
      <c r="H473" s="174"/>
    </row>
    <row r="474">
      <c r="C474" s="382"/>
      <c r="H474" s="174"/>
    </row>
    <row r="475">
      <c r="C475" s="382"/>
      <c r="H475" s="174"/>
    </row>
    <row r="476">
      <c r="C476" s="382"/>
      <c r="H476" s="174"/>
    </row>
    <row r="477">
      <c r="C477" s="382"/>
      <c r="H477" s="174"/>
    </row>
    <row r="478">
      <c r="C478" s="382"/>
      <c r="H478" s="174"/>
    </row>
    <row r="479">
      <c r="C479" s="382"/>
      <c r="H479" s="174"/>
    </row>
    <row r="480">
      <c r="C480" s="382"/>
      <c r="H480" s="174"/>
    </row>
    <row r="481">
      <c r="C481" s="382"/>
      <c r="H481" s="174"/>
    </row>
    <row r="482">
      <c r="C482" s="382"/>
      <c r="H482" s="174"/>
    </row>
    <row r="483">
      <c r="C483" s="382"/>
      <c r="H483" s="174"/>
    </row>
    <row r="484">
      <c r="C484" s="382"/>
      <c r="H484" s="174"/>
    </row>
    <row r="485">
      <c r="C485" s="382"/>
      <c r="H485" s="174"/>
    </row>
    <row r="486">
      <c r="C486" s="382"/>
      <c r="H486" s="174"/>
    </row>
    <row r="487">
      <c r="C487" s="382"/>
      <c r="H487" s="174"/>
    </row>
    <row r="488">
      <c r="C488" s="382"/>
      <c r="H488" s="174"/>
    </row>
    <row r="489">
      <c r="C489" s="382"/>
      <c r="H489" s="174"/>
    </row>
    <row r="490">
      <c r="C490" s="382"/>
      <c r="H490" s="174"/>
    </row>
    <row r="491">
      <c r="C491" s="382"/>
      <c r="H491" s="174"/>
    </row>
    <row r="492">
      <c r="C492" s="382"/>
      <c r="H492" s="174"/>
    </row>
    <row r="493">
      <c r="C493" s="382"/>
      <c r="H493" s="174"/>
    </row>
    <row r="494">
      <c r="C494" s="382"/>
      <c r="H494" s="174"/>
    </row>
    <row r="495">
      <c r="C495" s="382"/>
      <c r="H495" s="174"/>
    </row>
    <row r="496">
      <c r="C496" s="382"/>
      <c r="H496" s="174"/>
    </row>
    <row r="497">
      <c r="C497" s="382"/>
      <c r="H497" s="174"/>
    </row>
    <row r="498">
      <c r="C498" s="382"/>
      <c r="H498" s="174"/>
    </row>
    <row r="499">
      <c r="C499" s="382"/>
      <c r="H499" s="174"/>
    </row>
    <row r="500">
      <c r="C500" s="382"/>
      <c r="H500" s="174"/>
    </row>
    <row r="501">
      <c r="C501" s="382"/>
      <c r="H501" s="174"/>
    </row>
    <row r="502">
      <c r="C502" s="382"/>
      <c r="H502" s="174"/>
    </row>
    <row r="503">
      <c r="C503" s="382"/>
      <c r="H503" s="174"/>
    </row>
    <row r="504">
      <c r="C504" s="382"/>
      <c r="H504" s="174"/>
    </row>
    <row r="505">
      <c r="C505" s="382"/>
      <c r="H505" s="174"/>
    </row>
    <row r="506">
      <c r="C506" s="382"/>
      <c r="H506" s="174"/>
    </row>
    <row r="507">
      <c r="C507" s="382"/>
      <c r="H507" s="174"/>
    </row>
    <row r="508">
      <c r="C508" s="382"/>
      <c r="H508" s="174"/>
    </row>
    <row r="509">
      <c r="C509" s="382"/>
      <c r="H509" s="174"/>
    </row>
    <row r="510">
      <c r="C510" s="382"/>
      <c r="H510" s="174"/>
    </row>
    <row r="511">
      <c r="C511" s="382"/>
      <c r="H511" s="174"/>
    </row>
    <row r="512">
      <c r="C512" s="382"/>
      <c r="H512" s="174"/>
    </row>
    <row r="513">
      <c r="C513" s="382"/>
      <c r="H513" s="174"/>
    </row>
    <row r="514">
      <c r="C514" s="382"/>
      <c r="H514" s="174"/>
    </row>
    <row r="515">
      <c r="C515" s="382"/>
      <c r="H515" s="174"/>
    </row>
    <row r="516">
      <c r="C516" s="382"/>
      <c r="H516" s="174"/>
    </row>
    <row r="517">
      <c r="C517" s="382"/>
      <c r="H517" s="174"/>
    </row>
    <row r="518">
      <c r="C518" s="382"/>
      <c r="H518" s="174"/>
    </row>
    <row r="519">
      <c r="C519" s="382"/>
      <c r="H519" s="174"/>
    </row>
    <row r="520">
      <c r="C520" s="382"/>
      <c r="H520" s="174"/>
    </row>
    <row r="521">
      <c r="C521" s="382"/>
      <c r="H521" s="174"/>
    </row>
    <row r="522">
      <c r="C522" s="382"/>
      <c r="H522" s="174"/>
    </row>
    <row r="523">
      <c r="C523" s="382"/>
      <c r="H523" s="174"/>
    </row>
    <row r="524">
      <c r="C524" s="382"/>
      <c r="H524" s="174"/>
    </row>
    <row r="525">
      <c r="C525" s="382"/>
      <c r="H525" s="174"/>
    </row>
    <row r="526">
      <c r="C526" s="382"/>
      <c r="H526" s="174"/>
    </row>
    <row r="527">
      <c r="C527" s="382"/>
      <c r="H527" s="174"/>
    </row>
    <row r="528">
      <c r="C528" s="382"/>
      <c r="H528" s="174"/>
    </row>
    <row r="529">
      <c r="C529" s="382"/>
      <c r="H529" s="174"/>
    </row>
    <row r="530">
      <c r="C530" s="382"/>
      <c r="H530" s="174"/>
    </row>
    <row r="531">
      <c r="C531" s="382"/>
      <c r="H531" s="174"/>
    </row>
    <row r="532">
      <c r="C532" s="382"/>
      <c r="H532" s="174"/>
    </row>
    <row r="533">
      <c r="C533" s="382"/>
      <c r="H533" s="174"/>
    </row>
    <row r="534">
      <c r="C534" s="382"/>
      <c r="H534" s="174"/>
    </row>
    <row r="535">
      <c r="C535" s="382"/>
      <c r="H535" s="174"/>
    </row>
    <row r="536">
      <c r="C536" s="382"/>
      <c r="H536" s="174"/>
    </row>
    <row r="537">
      <c r="C537" s="382"/>
      <c r="H537" s="174"/>
    </row>
    <row r="538">
      <c r="C538" s="382"/>
      <c r="H538" s="174"/>
    </row>
    <row r="539">
      <c r="C539" s="382"/>
      <c r="H539" s="174"/>
    </row>
    <row r="540">
      <c r="C540" s="382"/>
      <c r="H540" s="174"/>
    </row>
    <row r="541">
      <c r="C541" s="382"/>
      <c r="H541" s="174"/>
    </row>
    <row r="542">
      <c r="C542" s="382"/>
      <c r="H542" s="174"/>
    </row>
    <row r="543">
      <c r="C543" s="382"/>
      <c r="H543" s="174"/>
    </row>
    <row r="544">
      <c r="C544" s="382"/>
      <c r="H544" s="174"/>
    </row>
    <row r="545">
      <c r="C545" s="382"/>
      <c r="H545" s="174"/>
    </row>
    <row r="546">
      <c r="C546" s="382"/>
      <c r="H546" s="174"/>
    </row>
    <row r="547">
      <c r="C547" s="382"/>
      <c r="H547" s="174"/>
    </row>
    <row r="548">
      <c r="C548" s="382"/>
      <c r="H548" s="174"/>
    </row>
    <row r="549">
      <c r="C549" s="382"/>
      <c r="H549" s="174"/>
    </row>
    <row r="550">
      <c r="C550" s="382"/>
      <c r="H550" s="174"/>
    </row>
    <row r="551">
      <c r="C551" s="382"/>
      <c r="H551" s="174"/>
    </row>
    <row r="552">
      <c r="C552" s="382"/>
      <c r="H552" s="174"/>
    </row>
    <row r="553">
      <c r="C553" s="382"/>
      <c r="H553" s="174"/>
    </row>
    <row r="554">
      <c r="C554" s="382"/>
      <c r="H554" s="174"/>
    </row>
    <row r="555">
      <c r="C555" s="382"/>
      <c r="H555" s="174"/>
    </row>
    <row r="556">
      <c r="C556" s="382"/>
      <c r="H556" s="174"/>
    </row>
    <row r="557">
      <c r="C557" s="382"/>
      <c r="H557" s="174"/>
    </row>
    <row r="558">
      <c r="C558" s="382"/>
      <c r="H558" s="174"/>
    </row>
    <row r="559">
      <c r="C559" s="382"/>
      <c r="H559" s="174"/>
    </row>
    <row r="560">
      <c r="C560" s="382"/>
      <c r="H560" s="174"/>
    </row>
    <row r="561">
      <c r="C561" s="382"/>
      <c r="H561" s="174"/>
    </row>
    <row r="562">
      <c r="C562" s="382"/>
      <c r="H562" s="174"/>
    </row>
    <row r="563">
      <c r="C563" s="382"/>
      <c r="H563" s="174"/>
    </row>
    <row r="564">
      <c r="C564" s="382"/>
      <c r="H564" s="174"/>
    </row>
    <row r="565">
      <c r="C565" s="382"/>
      <c r="H565" s="174"/>
    </row>
    <row r="566">
      <c r="C566" s="382"/>
      <c r="H566" s="174"/>
    </row>
    <row r="567">
      <c r="C567" s="382"/>
      <c r="H567" s="174"/>
    </row>
    <row r="568">
      <c r="C568" s="382"/>
      <c r="H568" s="174"/>
    </row>
    <row r="569">
      <c r="C569" s="382"/>
      <c r="H569" s="174"/>
    </row>
    <row r="570">
      <c r="C570" s="382"/>
      <c r="H570" s="174"/>
    </row>
    <row r="571">
      <c r="C571" s="382"/>
      <c r="H571" s="174"/>
    </row>
    <row r="572">
      <c r="C572" s="382"/>
      <c r="H572" s="174"/>
    </row>
    <row r="573">
      <c r="C573" s="382"/>
      <c r="H573" s="174"/>
    </row>
    <row r="574">
      <c r="C574" s="382"/>
      <c r="H574" s="174"/>
    </row>
    <row r="575">
      <c r="C575" s="382"/>
      <c r="H575" s="174"/>
    </row>
    <row r="576">
      <c r="C576" s="382"/>
      <c r="H576" s="174"/>
    </row>
    <row r="577">
      <c r="C577" s="382"/>
      <c r="H577" s="174"/>
    </row>
    <row r="578">
      <c r="C578" s="382"/>
      <c r="H578" s="174"/>
    </row>
    <row r="579">
      <c r="C579" s="382"/>
      <c r="H579" s="174"/>
    </row>
    <row r="580">
      <c r="C580" s="382"/>
      <c r="H580" s="174"/>
    </row>
    <row r="581">
      <c r="C581" s="382"/>
      <c r="H581" s="174"/>
    </row>
    <row r="582">
      <c r="C582" s="382"/>
      <c r="H582" s="174"/>
    </row>
    <row r="583">
      <c r="C583" s="382"/>
      <c r="H583" s="174"/>
    </row>
    <row r="584">
      <c r="C584" s="382"/>
      <c r="H584" s="174"/>
    </row>
    <row r="585">
      <c r="C585" s="382"/>
      <c r="H585" s="174"/>
    </row>
    <row r="586">
      <c r="C586" s="382"/>
      <c r="H586" s="174"/>
    </row>
    <row r="587">
      <c r="C587" s="382"/>
      <c r="H587" s="174"/>
    </row>
    <row r="588">
      <c r="C588" s="382"/>
      <c r="H588" s="174"/>
    </row>
    <row r="589">
      <c r="C589" s="382"/>
      <c r="H589" s="174"/>
    </row>
    <row r="590">
      <c r="C590" s="382"/>
      <c r="H590" s="174"/>
    </row>
    <row r="591">
      <c r="C591" s="382"/>
      <c r="H591" s="174"/>
    </row>
    <row r="592">
      <c r="C592" s="382"/>
      <c r="H592" s="174"/>
    </row>
    <row r="593">
      <c r="C593" s="382"/>
      <c r="H593" s="174"/>
    </row>
    <row r="594">
      <c r="C594" s="382"/>
      <c r="H594" s="174"/>
    </row>
    <row r="595">
      <c r="C595" s="382"/>
      <c r="H595" s="174"/>
    </row>
    <row r="596">
      <c r="C596" s="382"/>
      <c r="H596" s="174"/>
    </row>
    <row r="597">
      <c r="C597" s="382"/>
      <c r="H597" s="174"/>
    </row>
    <row r="598">
      <c r="C598" s="382"/>
      <c r="H598" s="174"/>
    </row>
    <row r="599">
      <c r="C599" s="382"/>
      <c r="H599" s="174"/>
    </row>
    <row r="600">
      <c r="C600" s="382"/>
      <c r="H600" s="174"/>
    </row>
    <row r="601">
      <c r="C601" s="382"/>
      <c r="H601" s="174"/>
    </row>
    <row r="602">
      <c r="C602" s="382"/>
      <c r="H602" s="174"/>
    </row>
    <row r="603">
      <c r="C603" s="382"/>
      <c r="H603" s="174"/>
    </row>
    <row r="604">
      <c r="C604" s="382"/>
      <c r="H604" s="174"/>
    </row>
    <row r="605">
      <c r="C605" s="382"/>
      <c r="H605" s="174"/>
    </row>
    <row r="606">
      <c r="C606" s="382"/>
      <c r="H606" s="174"/>
    </row>
    <row r="607">
      <c r="C607" s="382"/>
      <c r="H607" s="174"/>
    </row>
    <row r="608">
      <c r="C608" s="382"/>
      <c r="H608" s="174"/>
    </row>
    <row r="609">
      <c r="C609" s="382"/>
      <c r="H609" s="174"/>
    </row>
    <row r="610">
      <c r="C610" s="382"/>
      <c r="H610" s="174"/>
    </row>
    <row r="611">
      <c r="C611" s="382"/>
      <c r="H611" s="174"/>
    </row>
    <row r="612">
      <c r="C612" s="382"/>
      <c r="H612" s="174"/>
    </row>
    <row r="613">
      <c r="C613" s="382"/>
      <c r="H613" s="174"/>
    </row>
    <row r="614">
      <c r="C614" s="382"/>
      <c r="H614" s="174"/>
    </row>
    <row r="615">
      <c r="C615" s="382"/>
      <c r="H615" s="174"/>
    </row>
    <row r="616">
      <c r="C616" s="382"/>
      <c r="H616" s="174"/>
    </row>
    <row r="617">
      <c r="C617" s="382"/>
      <c r="H617" s="174"/>
    </row>
    <row r="618">
      <c r="C618" s="382"/>
      <c r="H618" s="174"/>
    </row>
    <row r="619">
      <c r="C619" s="382"/>
      <c r="H619" s="174"/>
    </row>
    <row r="620">
      <c r="C620" s="382"/>
      <c r="H620" s="174"/>
    </row>
    <row r="621">
      <c r="C621" s="382"/>
      <c r="H621" s="174"/>
    </row>
    <row r="622">
      <c r="C622" s="382"/>
      <c r="H622" s="174"/>
    </row>
    <row r="623">
      <c r="C623" s="382"/>
      <c r="H623" s="174"/>
    </row>
    <row r="624">
      <c r="C624" s="382"/>
      <c r="H624" s="174"/>
    </row>
    <row r="625">
      <c r="C625" s="382"/>
      <c r="H625" s="174"/>
    </row>
    <row r="626">
      <c r="C626" s="382"/>
      <c r="H626" s="174"/>
    </row>
    <row r="627">
      <c r="C627" s="382"/>
      <c r="H627" s="174"/>
    </row>
    <row r="628">
      <c r="C628" s="382"/>
      <c r="H628" s="174"/>
    </row>
    <row r="629">
      <c r="C629" s="382"/>
      <c r="H629" s="174"/>
    </row>
    <row r="630">
      <c r="C630" s="382"/>
      <c r="H630" s="174"/>
    </row>
    <row r="631">
      <c r="C631" s="382"/>
      <c r="H631" s="174"/>
    </row>
    <row r="632">
      <c r="C632" s="382"/>
      <c r="H632" s="174"/>
    </row>
    <row r="633">
      <c r="C633" s="382"/>
      <c r="H633" s="174"/>
    </row>
    <row r="634">
      <c r="C634" s="382"/>
      <c r="H634" s="174"/>
    </row>
    <row r="635">
      <c r="C635" s="382"/>
      <c r="H635" s="174"/>
    </row>
    <row r="636">
      <c r="C636" s="382"/>
      <c r="H636" s="174"/>
    </row>
    <row r="637">
      <c r="C637" s="382"/>
      <c r="H637" s="174"/>
    </row>
    <row r="638">
      <c r="C638" s="382"/>
      <c r="H638" s="174"/>
    </row>
    <row r="639">
      <c r="C639" s="382"/>
      <c r="H639" s="174"/>
    </row>
    <row r="640">
      <c r="C640" s="382"/>
      <c r="H640" s="174"/>
    </row>
    <row r="641">
      <c r="C641" s="382"/>
      <c r="H641" s="174"/>
    </row>
    <row r="642">
      <c r="C642" s="382"/>
      <c r="H642" s="174"/>
    </row>
    <row r="643">
      <c r="C643" s="382"/>
      <c r="H643" s="174"/>
    </row>
    <row r="644">
      <c r="C644" s="382"/>
      <c r="H644" s="174"/>
    </row>
    <row r="645">
      <c r="C645" s="382"/>
      <c r="H645" s="174"/>
    </row>
    <row r="646">
      <c r="C646" s="382"/>
      <c r="H646" s="174"/>
    </row>
    <row r="647">
      <c r="C647" s="382"/>
      <c r="H647" s="174"/>
    </row>
    <row r="648">
      <c r="C648" s="382"/>
      <c r="H648" s="174"/>
    </row>
    <row r="649">
      <c r="C649" s="382"/>
      <c r="H649" s="174"/>
    </row>
    <row r="650">
      <c r="C650" s="382"/>
      <c r="H650" s="174"/>
    </row>
    <row r="651">
      <c r="C651" s="382"/>
      <c r="H651" s="174"/>
    </row>
    <row r="652">
      <c r="C652" s="382"/>
      <c r="H652" s="174"/>
    </row>
    <row r="653">
      <c r="C653" s="382"/>
      <c r="H653" s="174"/>
    </row>
    <row r="654">
      <c r="C654" s="382"/>
      <c r="H654" s="174"/>
    </row>
    <row r="655">
      <c r="C655" s="382"/>
      <c r="H655" s="174"/>
    </row>
    <row r="656">
      <c r="C656" s="382"/>
      <c r="H656" s="174"/>
    </row>
    <row r="657">
      <c r="C657" s="382"/>
      <c r="H657" s="174"/>
    </row>
    <row r="658">
      <c r="C658" s="382"/>
      <c r="H658" s="174"/>
    </row>
    <row r="659">
      <c r="C659" s="382"/>
      <c r="H659" s="174"/>
    </row>
    <row r="660">
      <c r="C660" s="382"/>
      <c r="H660" s="174"/>
    </row>
    <row r="661">
      <c r="C661" s="382"/>
      <c r="H661" s="174"/>
    </row>
    <row r="662">
      <c r="C662" s="382"/>
      <c r="H662" s="174"/>
    </row>
    <row r="663">
      <c r="C663" s="382"/>
      <c r="H663" s="174"/>
    </row>
    <row r="664">
      <c r="C664" s="382"/>
      <c r="H664" s="174"/>
    </row>
    <row r="665">
      <c r="C665" s="382"/>
      <c r="H665" s="174"/>
    </row>
    <row r="666">
      <c r="C666" s="382"/>
      <c r="H666" s="174"/>
    </row>
    <row r="667">
      <c r="C667" s="382"/>
      <c r="H667" s="174"/>
    </row>
    <row r="668">
      <c r="C668" s="382"/>
      <c r="H668" s="174"/>
    </row>
    <row r="669">
      <c r="C669" s="382"/>
      <c r="H669" s="174"/>
    </row>
    <row r="670">
      <c r="C670" s="382"/>
      <c r="H670" s="174"/>
    </row>
    <row r="671">
      <c r="C671" s="382"/>
      <c r="H671" s="174"/>
    </row>
    <row r="672">
      <c r="C672" s="382"/>
      <c r="H672" s="174"/>
    </row>
    <row r="673">
      <c r="C673" s="382"/>
      <c r="H673" s="174"/>
    </row>
    <row r="674">
      <c r="C674" s="382"/>
      <c r="H674" s="174"/>
    </row>
    <row r="675">
      <c r="C675" s="382"/>
      <c r="H675" s="174"/>
    </row>
    <row r="676">
      <c r="C676" s="382"/>
      <c r="H676" s="174"/>
    </row>
    <row r="677">
      <c r="C677" s="382"/>
      <c r="H677" s="174"/>
    </row>
    <row r="678">
      <c r="C678" s="382"/>
      <c r="H678" s="174"/>
    </row>
    <row r="679">
      <c r="C679" s="382"/>
      <c r="H679" s="174"/>
    </row>
    <row r="680">
      <c r="C680" s="382"/>
      <c r="H680" s="174"/>
    </row>
    <row r="681">
      <c r="C681" s="382"/>
      <c r="H681" s="174"/>
    </row>
    <row r="682">
      <c r="C682" s="382"/>
      <c r="H682" s="174"/>
    </row>
    <row r="683">
      <c r="C683" s="382"/>
      <c r="H683" s="174"/>
    </row>
    <row r="684">
      <c r="C684" s="382"/>
      <c r="H684" s="174"/>
    </row>
    <row r="685">
      <c r="C685" s="382"/>
      <c r="H685" s="174"/>
    </row>
    <row r="686">
      <c r="C686" s="382"/>
      <c r="H686" s="174"/>
    </row>
    <row r="687">
      <c r="C687" s="382"/>
      <c r="H687" s="174"/>
    </row>
    <row r="688">
      <c r="C688" s="382"/>
      <c r="H688" s="174"/>
    </row>
    <row r="689">
      <c r="C689" s="382"/>
      <c r="H689" s="174"/>
    </row>
    <row r="690">
      <c r="C690" s="382"/>
      <c r="H690" s="174"/>
    </row>
    <row r="691">
      <c r="C691" s="382"/>
      <c r="H691" s="174"/>
    </row>
    <row r="692">
      <c r="C692" s="382"/>
      <c r="H692" s="174"/>
    </row>
    <row r="693">
      <c r="C693" s="382"/>
      <c r="H693" s="174"/>
    </row>
    <row r="694">
      <c r="C694" s="382"/>
      <c r="H694" s="174"/>
    </row>
    <row r="695">
      <c r="C695" s="382"/>
      <c r="H695" s="174"/>
    </row>
    <row r="696">
      <c r="C696" s="382"/>
      <c r="H696" s="174"/>
    </row>
    <row r="697">
      <c r="C697" s="382"/>
      <c r="H697" s="174"/>
    </row>
    <row r="698">
      <c r="C698" s="382"/>
      <c r="H698" s="174"/>
    </row>
    <row r="699">
      <c r="C699" s="382"/>
      <c r="H699" s="174"/>
    </row>
    <row r="700">
      <c r="C700" s="382"/>
      <c r="H700" s="174"/>
    </row>
    <row r="701">
      <c r="C701" s="382"/>
      <c r="H701" s="174"/>
    </row>
    <row r="702">
      <c r="C702" s="382"/>
      <c r="H702" s="174"/>
    </row>
    <row r="703">
      <c r="C703" s="382"/>
      <c r="H703" s="174"/>
    </row>
    <row r="704">
      <c r="C704" s="382"/>
      <c r="H704" s="174"/>
    </row>
    <row r="705">
      <c r="C705" s="382"/>
      <c r="H705" s="174"/>
    </row>
    <row r="706">
      <c r="C706" s="382"/>
      <c r="H706" s="174"/>
    </row>
    <row r="707">
      <c r="C707" s="382"/>
      <c r="H707" s="174"/>
    </row>
    <row r="708">
      <c r="C708" s="382"/>
      <c r="H708" s="174"/>
    </row>
    <row r="709">
      <c r="C709" s="382"/>
      <c r="H709" s="174"/>
    </row>
    <row r="710">
      <c r="C710" s="382"/>
      <c r="H710" s="174"/>
    </row>
    <row r="711">
      <c r="C711" s="382"/>
      <c r="H711" s="174"/>
    </row>
    <row r="712">
      <c r="C712" s="382"/>
      <c r="H712" s="174"/>
    </row>
    <row r="713">
      <c r="C713" s="382"/>
      <c r="H713" s="174"/>
    </row>
    <row r="714">
      <c r="C714" s="382"/>
      <c r="H714" s="174"/>
    </row>
    <row r="715">
      <c r="C715" s="382"/>
      <c r="H715" s="174"/>
    </row>
    <row r="716">
      <c r="C716" s="382"/>
      <c r="H716" s="174"/>
    </row>
    <row r="717">
      <c r="C717" s="382"/>
      <c r="H717" s="174"/>
    </row>
    <row r="718">
      <c r="C718" s="382"/>
      <c r="H718" s="174"/>
    </row>
    <row r="719">
      <c r="C719" s="382"/>
      <c r="H719" s="174"/>
    </row>
    <row r="720">
      <c r="C720" s="382"/>
      <c r="H720" s="174"/>
    </row>
    <row r="721">
      <c r="C721" s="382"/>
      <c r="H721" s="174"/>
    </row>
    <row r="722">
      <c r="C722" s="382"/>
      <c r="H722" s="174"/>
    </row>
    <row r="723">
      <c r="C723" s="382"/>
      <c r="H723" s="174"/>
    </row>
    <row r="724">
      <c r="C724" s="382"/>
      <c r="H724" s="174"/>
    </row>
    <row r="725">
      <c r="C725" s="382"/>
      <c r="H725" s="174"/>
    </row>
    <row r="726">
      <c r="C726" s="382"/>
      <c r="H726" s="174"/>
    </row>
    <row r="727">
      <c r="C727" s="382"/>
      <c r="H727" s="174"/>
    </row>
    <row r="728">
      <c r="C728" s="382"/>
      <c r="H728" s="174"/>
    </row>
    <row r="729">
      <c r="C729" s="382"/>
      <c r="H729" s="174"/>
    </row>
    <row r="730">
      <c r="C730" s="382"/>
      <c r="H730" s="174"/>
    </row>
    <row r="731">
      <c r="C731" s="382"/>
      <c r="H731" s="174"/>
    </row>
    <row r="732">
      <c r="C732" s="382"/>
      <c r="H732" s="174"/>
    </row>
    <row r="733">
      <c r="C733" s="382"/>
      <c r="H733" s="174"/>
    </row>
    <row r="734">
      <c r="C734" s="382"/>
      <c r="H734" s="174"/>
    </row>
    <row r="735">
      <c r="C735" s="382"/>
      <c r="H735" s="174"/>
    </row>
    <row r="736">
      <c r="C736" s="382"/>
      <c r="H736" s="174"/>
    </row>
    <row r="737">
      <c r="C737" s="382"/>
      <c r="H737" s="174"/>
    </row>
    <row r="738">
      <c r="C738" s="382"/>
      <c r="H738" s="174"/>
    </row>
    <row r="739">
      <c r="C739" s="382"/>
      <c r="H739" s="174"/>
    </row>
    <row r="740">
      <c r="C740" s="382"/>
      <c r="H740" s="174"/>
    </row>
    <row r="741">
      <c r="C741" s="382"/>
      <c r="H741" s="174"/>
    </row>
    <row r="742">
      <c r="C742" s="382"/>
      <c r="H742" s="174"/>
    </row>
    <row r="743">
      <c r="C743" s="382"/>
      <c r="H743" s="174"/>
    </row>
    <row r="744">
      <c r="C744" s="382"/>
      <c r="H744" s="174"/>
    </row>
    <row r="745">
      <c r="C745" s="382"/>
      <c r="H745" s="174"/>
    </row>
    <row r="746">
      <c r="C746" s="382"/>
      <c r="H746" s="174"/>
    </row>
    <row r="747">
      <c r="C747" s="382"/>
      <c r="H747" s="174"/>
    </row>
    <row r="748">
      <c r="C748" s="382"/>
      <c r="H748" s="174"/>
    </row>
    <row r="749">
      <c r="C749" s="382"/>
      <c r="H749" s="174"/>
    </row>
    <row r="750">
      <c r="C750" s="382"/>
      <c r="H750" s="174"/>
    </row>
    <row r="751">
      <c r="C751" s="382"/>
      <c r="H751" s="174"/>
    </row>
    <row r="752">
      <c r="C752" s="382"/>
      <c r="H752" s="174"/>
    </row>
    <row r="753">
      <c r="C753" s="382"/>
      <c r="H753" s="174"/>
    </row>
    <row r="754">
      <c r="C754" s="382"/>
      <c r="H754" s="174"/>
    </row>
    <row r="755">
      <c r="C755" s="382"/>
      <c r="H755" s="174"/>
    </row>
    <row r="756">
      <c r="C756" s="382"/>
      <c r="H756" s="174"/>
    </row>
    <row r="757">
      <c r="C757" s="382"/>
      <c r="H757" s="174"/>
    </row>
    <row r="758">
      <c r="C758" s="382"/>
      <c r="H758" s="174"/>
    </row>
    <row r="759">
      <c r="C759" s="382"/>
      <c r="H759" s="174"/>
    </row>
    <row r="760">
      <c r="C760" s="382"/>
      <c r="H760" s="174"/>
    </row>
    <row r="761">
      <c r="C761" s="382"/>
      <c r="H761" s="174"/>
    </row>
    <row r="762">
      <c r="C762" s="382"/>
      <c r="H762" s="174"/>
    </row>
    <row r="763">
      <c r="C763" s="382"/>
      <c r="H763" s="174"/>
    </row>
    <row r="764">
      <c r="C764" s="382"/>
      <c r="H764" s="174"/>
    </row>
    <row r="765">
      <c r="C765" s="382"/>
      <c r="H765" s="174"/>
    </row>
    <row r="766">
      <c r="C766" s="382"/>
      <c r="H766" s="174"/>
    </row>
    <row r="767">
      <c r="C767" s="382"/>
      <c r="H767" s="174"/>
    </row>
    <row r="768">
      <c r="C768" s="382"/>
      <c r="H768" s="174"/>
    </row>
    <row r="769">
      <c r="C769" s="382"/>
      <c r="H769" s="174"/>
    </row>
    <row r="770">
      <c r="C770" s="382"/>
      <c r="H770" s="174"/>
    </row>
    <row r="771">
      <c r="C771" s="382"/>
      <c r="H771" s="174"/>
    </row>
    <row r="772">
      <c r="C772" s="382"/>
      <c r="H772" s="174"/>
    </row>
    <row r="773">
      <c r="C773" s="382"/>
      <c r="H773" s="174"/>
    </row>
    <row r="774">
      <c r="C774" s="382"/>
      <c r="H774" s="174"/>
    </row>
    <row r="775">
      <c r="C775" s="382"/>
      <c r="H775" s="174"/>
    </row>
    <row r="776">
      <c r="C776" s="382"/>
      <c r="H776" s="174"/>
    </row>
    <row r="777">
      <c r="C777" s="382"/>
      <c r="H777" s="174"/>
    </row>
    <row r="778">
      <c r="C778" s="382"/>
      <c r="H778" s="174"/>
    </row>
    <row r="779">
      <c r="C779" s="382"/>
      <c r="H779" s="174"/>
    </row>
    <row r="780">
      <c r="C780" s="382"/>
      <c r="H780" s="174"/>
    </row>
    <row r="781">
      <c r="C781" s="382"/>
      <c r="H781" s="174"/>
    </row>
    <row r="782">
      <c r="C782" s="382"/>
      <c r="H782" s="174"/>
    </row>
    <row r="783">
      <c r="C783" s="382"/>
      <c r="H783" s="174"/>
    </row>
    <row r="784">
      <c r="C784" s="382"/>
      <c r="H784" s="174"/>
    </row>
    <row r="785">
      <c r="C785" s="382"/>
      <c r="H785" s="174"/>
    </row>
    <row r="786">
      <c r="C786" s="382"/>
      <c r="H786" s="174"/>
    </row>
    <row r="787">
      <c r="C787" s="382"/>
      <c r="H787" s="174"/>
    </row>
    <row r="788">
      <c r="C788" s="382"/>
      <c r="H788" s="174"/>
    </row>
    <row r="789">
      <c r="C789" s="382"/>
      <c r="H789" s="174"/>
    </row>
    <row r="790">
      <c r="C790" s="382"/>
      <c r="H790" s="174"/>
    </row>
    <row r="791">
      <c r="C791" s="382"/>
      <c r="H791" s="174"/>
    </row>
    <row r="792">
      <c r="C792" s="382"/>
      <c r="H792" s="174"/>
    </row>
    <row r="793">
      <c r="C793" s="382"/>
      <c r="H793" s="174"/>
    </row>
    <row r="794">
      <c r="C794" s="382"/>
      <c r="H794" s="174"/>
    </row>
    <row r="795">
      <c r="C795" s="382"/>
      <c r="H795" s="174"/>
    </row>
    <row r="796">
      <c r="C796" s="382"/>
      <c r="H796" s="174"/>
    </row>
    <row r="797">
      <c r="C797" s="382"/>
      <c r="H797" s="174"/>
    </row>
    <row r="798">
      <c r="C798" s="382"/>
      <c r="H798" s="174"/>
    </row>
    <row r="799">
      <c r="C799" s="382"/>
      <c r="H799" s="174"/>
    </row>
    <row r="800">
      <c r="C800" s="382"/>
      <c r="H800" s="174"/>
    </row>
    <row r="801">
      <c r="C801" s="382"/>
      <c r="H801" s="174"/>
    </row>
    <row r="802">
      <c r="C802" s="382"/>
      <c r="H802" s="174"/>
    </row>
    <row r="803">
      <c r="C803" s="382"/>
      <c r="H803" s="174"/>
    </row>
    <row r="804">
      <c r="C804" s="382"/>
      <c r="H804" s="174"/>
    </row>
    <row r="805">
      <c r="C805" s="382"/>
      <c r="H805" s="174"/>
    </row>
    <row r="806">
      <c r="C806" s="382"/>
      <c r="H806" s="174"/>
    </row>
    <row r="807">
      <c r="C807" s="382"/>
      <c r="H807" s="174"/>
    </row>
    <row r="808">
      <c r="C808" s="382"/>
      <c r="H808" s="174"/>
    </row>
    <row r="809">
      <c r="C809" s="382"/>
      <c r="H809" s="174"/>
    </row>
    <row r="810">
      <c r="C810" s="382"/>
      <c r="H810" s="174"/>
    </row>
    <row r="811">
      <c r="C811" s="382"/>
      <c r="H811" s="174"/>
    </row>
    <row r="812">
      <c r="C812" s="382"/>
      <c r="H812" s="174"/>
    </row>
    <row r="813">
      <c r="C813" s="382"/>
      <c r="H813" s="174"/>
    </row>
    <row r="814">
      <c r="C814" s="382"/>
      <c r="H814" s="174"/>
    </row>
    <row r="815">
      <c r="C815" s="382"/>
      <c r="H815" s="174"/>
    </row>
    <row r="816">
      <c r="C816" s="382"/>
      <c r="H816" s="174"/>
    </row>
    <row r="817">
      <c r="C817" s="382"/>
      <c r="H817" s="174"/>
    </row>
    <row r="818">
      <c r="C818" s="382"/>
      <c r="H818" s="174"/>
    </row>
    <row r="819">
      <c r="C819" s="382"/>
      <c r="H819" s="174"/>
    </row>
    <row r="820">
      <c r="C820" s="382"/>
      <c r="H820" s="174"/>
    </row>
    <row r="821">
      <c r="C821" s="382"/>
      <c r="H821" s="174"/>
    </row>
    <row r="822">
      <c r="C822" s="382"/>
      <c r="H822" s="174"/>
    </row>
    <row r="823">
      <c r="C823" s="382"/>
      <c r="H823" s="174"/>
    </row>
    <row r="824">
      <c r="C824" s="382"/>
      <c r="H824" s="174"/>
    </row>
    <row r="825">
      <c r="C825" s="382"/>
      <c r="H825" s="174"/>
    </row>
    <row r="826">
      <c r="C826" s="382"/>
      <c r="H826" s="174"/>
    </row>
    <row r="827">
      <c r="C827" s="382"/>
      <c r="H827" s="174"/>
    </row>
    <row r="828">
      <c r="C828" s="382"/>
      <c r="H828" s="174"/>
    </row>
    <row r="829">
      <c r="C829" s="382"/>
      <c r="H829" s="174"/>
    </row>
    <row r="830">
      <c r="C830" s="382"/>
      <c r="H830" s="174"/>
    </row>
    <row r="831">
      <c r="C831" s="382"/>
      <c r="H831" s="174"/>
    </row>
    <row r="832">
      <c r="C832" s="382"/>
      <c r="H832" s="174"/>
    </row>
    <row r="833">
      <c r="C833" s="382"/>
      <c r="H833" s="174"/>
    </row>
    <row r="834">
      <c r="C834" s="382"/>
      <c r="H834" s="174"/>
    </row>
    <row r="835">
      <c r="C835" s="382"/>
      <c r="H835" s="174"/>
    </row>
    <row r="836">
      <c r="C836" s="382"/>
      <c r="H836" s="174"/>
    </row>
    <row r="837">
      <c r="C837" s="382"/>
      <c r="H837" s="174"/>
    </row>
    <row r="838">
      <c r="C838" s="382"/>
      <c r="H838" s="174"/>
    </row>
    <row r="839">
      <c r="C839" s="382"/>
      <c r="H839" s="174"/>
    </row>
    <row r="840">
      <c r="C840" s="382"/>
      <c r="H840" s="174"/>
    </row>
    <row r="841">
      <c r="C841" s="382"/>
      <c r="H841" s="174"/>
    </row>
    <row r="842">
      <c r="C842" s="382"/>
      <c r="H842" s="174"/>
    </row>
    <row r="843">
      <c r="C843" s="382"/>
      <c r="H843" s="174"/>
    </row>
    <row r="844">
      <c r="C844" s="382"/>
      <c r="H844" s="174"/>
    </row>
    <row r="845">
      <c r="C845" s="382"/>
      <c r="H845" s="174"/>
    </row>
    <row r="846">
      <c r="C846" s="382"/>
      <c r="H846" s="174"/>
    </row>
    <row r="847">
      <c r="C847" s="382"/>
      <c r="H847" s="174"/>
    </row>
    <row r="848">
      <c r="C848" s="382"/>
      <c r="H848" s="174"/>
    </row>
    <row r="849">
      <c r="C849" s="382"/>
      <c r="H849" s="174"/>
    </row>
    <row r="850">
      <c r="C850" s="382"/>
      <c r="H850" s="174"/>
    </row>
    <row r="851">
      <c r="C851" s="382"/>
      <c r="H851" s="174"/>
    </row>
    <row r="852">
      <c r="C852" s="382"/>
      <c r="H852" s="174"/>
    </row>
    <row r="853">
      <c r="C853" s="382"/>
      <c r="H853" s="174"/>
    </row>
    <row r="854">
      <c r="C854" s="382"/>
      <c r="H854" s="174"/>
    </row>
    <row r="855">
      <c r="C855" s="382"/>
      <c r="H855" s="174"/>
    </row>
    <row r="856">
      <c r="C856" s="382"/>
      <c r="H856" s="174"/>
    </row>
    <row r="857">
      <c r="C857" s="382"/>
      <c r="H857" s="174"/>
    </row>
    <row r="858">
      <c r="C858" s="382"/>
      <c r="H858" s="174"/>
    </row>
    <row r="859">
      <c r="C859" s="382"/>
      <c r="H859" s="174"/>
    </row>
    <row r="860">
      <c r="C860" s="382"/>
      <c r="H860" s="174"/>
    </row>
    <row r="861">
      <c r="C861" s="382"/>
      <c r="H861" s="174"/>
    </row>
    <row r="862">
      <c r="C862" s="382"/>
      <c r="H862" s="174"/>
    </row>
    <row r="863">
      <c r="C863" s="382"/>
      <c r="H863" s="174"/>
    </row>
    <row r="864">
      <c r="C864" s="382"/>
      <c r="H864" s="174"/>
    </row>
    <row r="865">
      <c r="C865" s="382"/>
      <c r="H865" s="174"/>
    </row>
    <row r="866">
      <c r="C866" s="382"/>
      <c r="H866" s="174"/>
    </row>
    <row r="867">
      <c r="C867" s="382"/>
      <c r="H867" s="174"/>
    </row>
    <row r="868">
      <c r="C868" s="382"/>
      <c r="H868" s="174"/>
    </row>
    <row r="869">
      <c r="C869" s="382"/>
      <c r="H869" s="174"/>
    </row>
    <row r="870">
      <c r="C870" s="382"/>
      <c r="H870" s="174"/>
    </row>
    <row r="871">
      <c r="C871" s="382"/>
      <c r="H871" s="174"/>
    </row>
    <row r="872">
      <c r="C872" s="382"/>
      <c r="H872" s="174"/>
    </row>
    <row r="873">
      <c r="C873" s="382"/>
      <c r="H873" s="174"/>
    </row>
    <row r="874">
      <c r="C874" s="382"/>
      <c r="H874" s="174"/>
    </row>
    <row r="875">
      <c r="C875" s="382"/>
      <c r="H875" s="174"/>
    </row>
    <row r="876">
      <c r="C876" s="382"/>
      <c r="H876" s="174"/>
    </row>
    <row r="877">
      <c r="C877" s="382"/>
      <c r="H877" s="174"/>
    </row>
    <row r="878">
      <c r="C878" s="382"/>
      <c r="H878" s="174"/>
    </row>
    <row r="879">
      <c r="C879" s="382"/>
      <c r="H879" s="174"/>
    </row>
    <row r="880">
      <c r="C880" s="382"/>
      <c r="H880" s="174"/>
    </row>
    <row r="881">
      <c r="C881" s="382"/>
      <c r="H881" s="174"/>
    </row>
    <row r="882">
      <c r="C882" s="382"/>
      <c r="H882" s="174"/>
    </row>
    <row r="883">
      <c r="C883" s="382"/>
      <c r="H883" s="174"/>
    </row>
    <row r="884">
      <c r="C884" s="382"/>
      <c r="H884" s="174"/>
    </row>
    <row r="885">
      <c r="C885" s="382"/>
      <c r="H885" s="174"/>
    </row>
    <row r="886">
      <c r="C886" s="382"/>
      <c r="H886" s="174"/>
    </row>
    <row r="887">
      <c r="C887" s="382"/>
      <c r="H887" s="174"/>
    </row>
    <row r="888">
      <c r="C888" s="382"/>
      <c r="H888" s="174"/>
    </row>
    <row r="889">
      <c r="C889" s="382"/>
      <c r="H889" s="174"/>
    </row>
    <row r="890">
      <c r="C890" s="382"/>
      <c r="H890" s="174"/>
    </row>
    <row r="891">
      <c r="C891" s="382"/>
      <c r="H891" s="174"/>
    </row>
    <row r="892">
      <c r="C892" s="382"/>
      <c r="H892" s="174"/>
    </row>
    <row r="893">
      <c r="C893" s="382"/>
      <c r="H893" s="174"/>
    </row>
    <row r="894">
      <c r="C894" s="382"/>
      <c r="H894" s="174"/>
    </row>
    <row r="895">
      <c r="C895" s="382"/>
      <c r="H895" s="174"/>
    </row>
    <row r="896">
      <c r="C896" s="382"/>
      <c r="H896" s="174"/>
    </row>
    <row r="897">
      <c r="C897" s="382"/>
      <c r="H897" s="174"/>
    </row>
    <row r="898">
      <c r="C898" s="382"/>
      <c r="H898" s="174"/>
    </row>
    <row r="899">
      <c r="C899" s="382"/>
      <c r="H899" s="174"/>
    </row>
    <row r="900">
      <c r="C900" s="382"/>
      <c r="H900" s="174"/>
    </row>
    <row r="901">
      <c r="C901" s="382"/>
      <c r="H901" s="174"/>
    </row>
    <row r="902">
      <c r="C902" s="382"/>
      <c r="H902" s="174"/>
    </row>
    <row r="903">
      <c r="C903" s="382"/>
      <c r="H903" s="174"/>
    </row>
    <row r="904">
      <c r="C904" s="382"/>
      <c r="H904" s="174"/>
    </row>
    <row r="905">
      <c r="C905" s="382"/>
      <c r="H905" s="174"/>
    </row>
    <row r="906">
      <c r="C906" s="382"/>
      <c r="H906" s="174"/>
    </row>
    <row r="907">
      <c r="C907" s="382"/>
      <c r="H907" s="174"/>
    </row>
    <row r="908">
      <c r="C908" s="382"/>
      <c r="H908" s="174"/>
    </row>
    <row r="909">
      <c r="C909" s="382"/>
      <c r="H909" s="174"/>
    </row>
    <row r="910">
      <c r="C910" s="382"/>
      <c r="H910" s="174"/>
    </row>
    <row r="911">
      <c r="C911" s="382"/>
      <c r="H911" s="174"/>
    </row>
    <row r="912">
      <c r="C912" s="382"/>
      <c r="H912" s="174"/>
    </row>
    <row r="913">
      <c r="C913" s="382"/>
      <c r="H913" s="174"/>
    </row>
    <row r="914">
      <c r="C914" s="382"/>
      <c r="H914" s="174"/>
    </row>
    <row r="915">
      <c r="C915" s="382"/>
      <c r="H915" s="174"/>
    </row>
    <row r="916">
      <c r="C916" s="382"/>
      <c r="H916" s="174"/>
    </row>
    <row r="917">
      <c r="C917" s="382"/>
      <c r="H917" s="174"/>
    </row>
    <row r="918">
      <c r="C918" s="382"/>
      <c r="H918" s="174"/>
    </row>
    <row r="919">
      <c r="C919" s="382"/>
      <c r="H919" s="174"/>
    </row>
    <row r="920">
      <c r="C920" s="382"/>
      <c r="H920" s="174"/>
    </row>
    <row r="921">
      <c r="C921" s="382"/>
      <c r="H921" s="174"/>
    </row>
    <row r="922">
      <c r="C922" s="382"/>
      <c r="H922" s="174"/>
    </row>
    <row r="923">
      <c r="C923" s="382"/>
      <c r="H923" s="174"/>
    </row>
    <row r="924">
      <c r="C924" s="382"/>
      <c r="H924" s="174"/>
    </row>
    <row r="925">
      <c r="C925" s="382"/>
      <c r="H925" s="174"/>
    </row>
    <row r="926">
      <c r="C926" s="382"/>
      <c r="H926" s="174"/>
    </row>
    <row r="927">
      <c r="C927" s="382"/>
      <c r="H927" s="174"/>
    </row>
    <row r="928">
      <c r="C928" s="382"/>
      <c r="H928" s="174"/>
    </row>
    <row r="929">
      <c r="C929" s="382"/>
      <c r="H929" s="174"/>
    </row>
    <row r="930">
      <c r="C930" s="382"/>
      <c r="H930" s="174"/>
    </row>
    <row r="931">
      <c r="C931" s="382"/>
      <c r="H931" s="174"/>
    </row>
    <row r="932">
      <c r="C932" s="382"/>
      <c r="H932" s="174"/>
    </row>
    <row r="933">
      <c r="C933" s="382"/>
      <c r="H933" s="174"/>
    </row>
    <row r="934">
      <c r="C934" s="382"/>
      <c r="H934" s="174"/>
    </row>
    <row r="935">
      <c r="C935" s="382"/>
      <c r="H935" s="174"/>
    </row>
    <row r="936">
      <c r="C936" s="382"/>
      <c r="H936" s="174"/>
    </row>
    <row r="937">
      <c r="C937" s="382"/>
      <c r="H937" s="174"/>
    </row>
    <row r="938">
      <c r="C938" s="382"/>
      <c r="H938" s="174"/>
    </row>
    <row r="939">
      <c r="C939" s="382"/>
      <c r="H939" s="174"/>
    </row>
    <row r="940">
      <c r="C940" s="382"/>
      <c r="H940" s="174"/>
    </row>
    <row r="941">
      <c r="C941" s="382"/>
      <c r="H941" s="174"/>
    </row>
    <row r="942">
      <c r="C942" s="382"/>
      <c r="H942" s="174"/>
    </row>
    <row r="943">
      <c r="C943" s="382"/>
      <c r="H943" s="174"/>
    </row>
    <row r="944">
      <c r="C944" s="382"/>
      <c r="H944" s="174"/>
    </row>
    <row r="945">
      <c r="C945" s="382"/>
      <c r="H945" s="174"/>
    </row>
    <row r="946">
      <c r="C946" s="382"/>
      <c r="H946" s="174"/>
    </row>
    <row r="947">
      <c r="C947" s="382"/>
      <c r="H947" s="174"/>
    </row>
    <row r="948">
      <c r="C948" s="382"/>
      <c r="H948" s="174"/>
    </row>
    <row r="949">
      <c r="C949" s="382"/>
      <c r="H949" s="174"/>
    </row>
    <row r="950">
      <c r="C950" s="382"/>
      <c r="H950" s="174"/>
    </row>
    <row r="951">
      <c r="C951" s="382"/>
      <c r="H951" s="174"/>
    </row>
    <row r="952">
      <c r="C952" s="382"/>
      <c r="H952" s="174"/>
    </row>
    <row r="953">
      <c r="C953" s="382"/>
      <c r="H953" s="174"/>
    </row>
    <row r="954">
      <c r="C954" s="382"/>
      <c r="H954" s="174"/>
    </row>
    <row r="955">
      <c r="C955" s="382"/>
      <c r="H955" s="174"/>
    </row>
    <row r="956">
      <c r="C956" s="382"/>
      <c r="H956" s="174"/>
    </row>
    <row r="957">
      <c r="C957" s="382"/>
      <c r="H957" s="174"/>
    </row>
    <row r="958">
      <c r="C958" s="382"/>
      <c r="H958" s="174"/>
    </row>
    <row r="959">
      <c r="C959" s="382"/>
      <c r="H959" s="174"/>
    </row>
    <row r="960">
      <c r="C960" s="382"/>
      <c r="H960" s="174"/>
    </row>
    <row r="961">
      <c r="C961" s="382"/>
      <c r="H961" s="174"/>
    </row>
    <row r="962">
      <c r="C962" s="382"/>
      <c r="H962" s="174"/>
    </row>
    <row r="963">
      <c r="C963" s="382"/>
      <c r="H963" s="174"/>
    </row>
    <row r="964">
      <c r="C964" s="382"/>
      <c r="H964" s="174"/>
    </row>
    <row r="965">
      <c r="C965" s="382"/>
      <c r="H965" s="174"/>
    </row>
    <row r="966">
      <c r="C966" s="382"/>
      <c r="H966" s="174"/>
    </row>
    <row r="967">
      <c r="C967" s="382"/>
      <c r="H967" s="174"/>
    </row>
    <row r="968">
      <c r="C968" s="382"/>
      <c r="H968" s="174"/>
    </row>
    <row r="969">
      <c r="C969" s="382"/>
      <c r="H969" s="174"/>
    </row>
    <row r="970">
      <c r="C970" s="382"/>
      <c r="H970" s="174"/>
    </row>
    <row r="971">
      <c r="C971" s="382"/>
      <c r="H971" s="174"/>
    </row>
    <row r="972">
      <c r="C972" s="382"/>
      <c r="H972" s="174"/>
    </row>
    <row r="973">
      <c r="C973" s="382"/>
      <c r="H973" s="174"/>
    </row>
    <row r="974">
      <c r="C974" s="382"/>
      <c r="H974" s="174"/>
    </row>
    <row r="975">
      <c r="C975" s="382"/>
      <c r="H975" s="174"/>
    </row>
    <row r="976">
      <c r="C976" s="382"/>
      <c r="H976" s="174"/>
    </row>
    <row r="977">
      <c r="C977" s="382"/>
      <c r="H977" s="174"/>
    </row>
    <row r="978">
      <c r="C978" s="382"/>
      <c r="H978" s="174"/>
    </row>
    <row r="979">
      <c r="C979" s="382"/>
      <c r="H979" s="174"/>
    </row>
    <row r="980">
      <c r="C980" s="382"/>
      <c r="H980" s="174"/>
    </row>
    <row r="981">
      <c r="C981" s="382"/>
      <c r="H981" s="174"/>
    </row>
    <row r="982">
      <c r="C982" s="382"/>
      <c r="H982" s="174"/>
    </row>
    <row r="983">
      <c r="C983" s="382"/>
      <c r="H983" s="174"/>
    </row>
    <row r="984">
      <c r="C984" s="382"/>
      <c r="H984" s="174"/>
    </row>
    <row r="985">
      <c r="C985" s="382"/>
      <c r="H985" s="174"/>
    </row>
    <row r="986">
      <c r="C986" s="382"/>
      <c r="H986" s="174"/>
    </row>
    <row r="987">
      <c r="C987" s="382"/>
      <c r="H987" s="174"/>
    </row>
    <row r="988">
      <c r="C988" s="382"/>
      <c r="H988" s="174"/>
    </row>
    <row r="989">
      <c r="C989" s="382"/>
      <c r="H989" s="174"/>
    </row>
    <row r="990">
      <c r="C990" s="382"/>
      <c r="H990" s="174"/>
    </row>
    <row r="991">
      <c r="C991" s="382"/>
      <c r="H991" s="174"/>
    </row>
    <row r="992">
      <c r="C992" s="382"/>
      <c r="H992" s="174"/>
    </row>
    <row r="993">
      <c r="C993" s="382"/>
      <c r="H993" s="174"/>
    </row>
    <row r="994">
      <c r="C994" s="382"/>
      <c r="H994" s="174"/>
    </row>
    <row r="995">
      <c r="C995" s="382"/>
      <c r="H995" s="174"/>
    </row>
    <row r="996">
      <c r="C996" s="382"/>
      <c r="H996" s="174"/>
    </row>
    <row r="997">
      <c r="C997" s="382"/>
      <c r="H997" s="174"/>
    </row>
    <row r="998">
      <c r="C998" s="382"/>
      <c r="H998" s="174"/>
    </row>
    <row r="999">
      <c r="C999" s="382"/>
      <c r="H999" s="174"/>
    </row>
    <row r="1000">
      <c r="C1000" s="382"/>
      <c r="H1000" s="174"/>
    </row>
    <row r="1001">
      <c r="C1001" s="382"/>
      <c r="H1001" s="174"/>
    </row>
    <row r="1002">
      <c r="C1002" s="382"/>
      <c r="H1002" s="174"/>
    </row>
  </sheetData>
  <mergeCells count="2">
    <mergeCell ref="A2:A9"/>
    <mergeCell ref="A10:A17"/>
  </mergeCells>
  <conditionalFormatting sqref="F1:F1002 K1:K17">
    <cfRule type="cellIs" dxfId="5" priority="1" operator="greaterThan">
      <formula>0</formula>
    </cfRule>
  </conditionalFormatting>
  <conditionalFormatting sqref="F1:F1002 K1:K17">
    <cfRule type="cellIs" dxfId="6" priority="2" operator="lessThan">
      <formula>0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32.75"/>
    <col customWidth="1" min="5" max="5" width="19.5"/>
  </cols>
  <sheetData>
    <row r="1">
      <c r="A1" s="348"/>
      <c r="B1" s="348"/>
      <c r="C1" s="350" t="s">
        <v>626</v>
      </c>
      <c r="D1" s="350" t="s">
        <v>627</v>
      </c>
      <c r="E1" s="350" t="s">
        <v>628</v>
      </c>
      <c r="F1" s="350" t="s">
        <v>629</v>
      </c>
      <c r="G1" s="350" t="s">
        <v>630</v>
      </c>
    </row>
    <row r="2">
      <c r="A2" s="409" t="s">
        <v>631</v>
      </c>
      <c r="B2" s="412" t="s">
        <v>566</v>
      </c>
      <c r="C2" s="413">
        <v>58.0</v>
      </c>
      <c r="D2" s="413">
        <v>174.0</v>
      </c>
      <c r="E2" s="414">
        <f t="shared" ref="E2:E8" si="1">(D2-C2)/C2</f>
        <v>2</v>
      </c>
      <c r="F2" s="413">
        <v>171.0</v>
      </c>
      <c r="G2" s="414">
        <f t="shared" ref="G2:G8" si="2">(F2-D2)/D2</f>
        <v>-0.01724137931</v>
      </c>
    </row>
    <row r="3">
      <c r="A3" s="356"/>
      <c r="B3" s="415" t="s">
        <v>632</v>
      </c>
      <c r="C3" s="360">
        <v>1.0</v>
      </c>
      <c r="D3" s="392">
        <v>6.0</v>
      </c>
      <c r="E3" s="414">
        <f t="shared" si="1"/>
        <v>5</v>
      </c>
      <c r="F3" s="392">
        <v>8.0</v>
      </c>
      <c r="G3" s="414">
        <f t="shared" si="2"/>
        <v>0.3333333333</v>
      </c>
    </row>
    <row r="4">
      <c r="A4" s="356"/>
      <c r="B4" s="415" t="s">
        <v>633</v>
      </c>
      <c r="C4" s="360">
        <v>79.0</v>
      </c>
      <c r="D4" s="392">
        <v>219.0</v>
      </c>
      <c r="E4" s="414">
        <f t="shared" si="1"/>
        <v>1.772151899</v>
      </c>
      <c r="F4" s="392">
        <v>188.0</v>
      </c>
      <c r="G4" s="414">
        <f t="shared" si="2"/>
        <v>-0.1415525114</v>
      </c>
    </row>
    <row r="5">
      <c r="A5" s="356"/>
      <c r="B5" s="415" t="s">
        <v>634</v>
      </c>
      <c r="C5" s="360">
        <v>15.0</v>
      </c>
      <c r="D5" s="392">
        <v>15.0</v>
      </c>
      <c r="E5" s="414">
        <f t="shared" si="1"/>
        <v>0</v>
      </c>
      <c r="F5" s="392">
        <v>15.0</v>
      </c>
      <c r="G5" s="414">
        <f t="shared" si="2"/>
        <v>0</v>
      </c>
    </row>
    <row r="6">
      <c r="A6" s="356"/>
      <c r="B6" s="379" t="s">
        <v>635</v>
      </c>
      <c r="C6" s="360">
        <v>54.0</v>
      </c>
      <c r="D6" s="392">
        <v>159.0</v>
      </c>
      <c r="E6" s="414">
        <f t="shared" si="1"/>
        <v>1.944444444</v>
      </c>
      <c r="F6" s="392">
        <v>154.0</v>
      </c>
      <c r="G6" s="414">
        <f t="shared" si="2"/>
        <v>-0.03144654088</v>
      </c>
    </row>
    <row r="7">
      <c r="A7" s="356"/>
      <c r="B7" s="415" t="s">
        <v>636</v>
      </c>
      <c r="C7" s="360">
        <v>3.0</v>
      </c>
      <c r="D7" s="392">
        <v>9.0</v>
      </c>
      <c r="E7" s="414">
        <f t="shared" si="1"/>
        <v>2</v>
      </c>
      <c r="F7" s="392">
        <v>9.0</v>
      </c>
      <c r="G7" s="414">
        <f t="shared" si="2"/>
        <v>0</v>
      </c>
    </row>
    <row r="8">
      <c r="A8" s="369"/>
      <c r="B8" s="416" t="s">
        <v>637</v>
      </c>
      <c r="C8" s="372">
        <v>0.0</v>
      </c>
      <c r="D8" s="403">
        <v>0.0</v>
      </c>
      <c r="E8" s="417" t="str">
        <f t="shared" si="1"/>
        <v>#DIV/0!</v>
      </c>
      <c r="F8" s="403">
        <v>0.0</v>
      </c>
      <c r="G8" s="417" t="str">
        <f t="shared" si="2"/>
        <v>#DIV/0!</v>
      </c>
    </row>
    <row r="9">
      <c r="B9" s="410"/>
      <c r="C9" s="418"/>
      <c r="D9" s="418"/>
      <c r="E9" s="419"/>
    </row>
    <row r="10">
      <c r="B10" s="420"/>
      <c r="C10" s="421"/>
      <c r="D10" s="421"/>
      <c r="E10" s="422"/>
    </row>
    <row r="11">
      <c r="B11" s="423"/>
      <c r="C11" s="424"/>
      <c r="D11" s="424"/>
      <c r="E11" s="422"/>
    </row>
    <row r="12">
      <c r="B12" s="425"/>
      <c r="C12" s="424"/>
      <c r="D12" s="424"/>
      <c r="E12" s="422"/>
    </row>
    <row r="13">
      <c r="B13" s="420"/>
      <c r="C13" s="421"/>
      <c r="D13" s="421"/>
      <c r="E13" s="422"/>
    </row>
    <row r="14">
      <c r="B14" s="426"/>
      <c r="C14" s="421"/>
      <c r="D14" s="421"/>
      <c r="E14" s="422"/>
    </row>
    <row r="15">
      <c r="B15" s="423"/>
      <c r="C15" s="427"/>
      <c r="D15" s="427"/>
      <c r="E15" s="422"/>
    </row>
    <row r="16" ht="30.75" customHeight="1">
      <c r="B16" s="420"/>
      <c r="C16" s="421"/>
      <c r="D16" s="421"/>
      <c r="E16" s="422"/>
    </row>
    <row r="17">
      <c r="C17" s="382"/>
      <c r="D17" s="382"/>
    </row>
    <row r="18">
      <c r="C18" s="382"/>
      <c r="D18" s="382"/>
    </row>
    <row r="19">
      <c r="C19" s="382"/>
      <c r="D19" s="382"/>
    </row>
    <row r="20">
      <c r="C20" s="382"/>
      <c r="D20" s="382"/>
    </row>
    <row r="21">
      <c r="C21" s="382"/>
      <c r="D21" s="382"/>
    </row>
    <row r="22">
      <c r="C22" s="382"/>
      <c r="D22" s="382"/>
    </row>
    <row r="23">
      <c r="C23" s="382"/>
      <c r="D23" s="382"/>
    </row>
    <row r="24">
      <c r="C24" s="382"/>
      <c r="D24" s="382"/>
    </row>
    <row r="25">
      <c r="C25" s="382"/>
      <c r="D25" s="382"/>
    </row>
    <row r="26">
      <c r="C26" s="382"/>
      <c r="D26" s="382"/>
    </row>
    <row r="27">
      <c r="C27" s="382"/>
      <c r="D27" s="382"/>
    </row>
    <row r="28">
      <c r="C28" s="382"/>
      <c r="D28" s="382"/>
    </row>
    <row r="29">
      <c r="C29" s="382"/>
      <c r="D29" s="382"/>
    </row>
    <row r="30">
      <c r="C30" s="382"/>
      <c r="D30" s="382"/>
    </row>
    <row r="31">
      <c r="C31" s="382"/>
      <c r="D31" s="382"/>
    </row>
    <row r="32">
      <c r="C32" s="382"/>
      <c r="D32" s="382"/>
    </row>
    <row r="33">
      <c r="C33" s="382"/>
      <c r="D33" s="382"/>
    </row>
    <row r="34">
      <c r="C34" s="382"/>
      <c r="D34" s="382"/>
    </row>
    <row r="35">
      <c r="C35" s="382"/>
      <c r="D35" s="382"/>
    </row>
    <row r="36">
      <c r="C36" s="382"/>
      <c r="D36" s="382"/>
    </row>
    <row r="37">
      <c r="C37" s="382"/>
      <c r="D37" s="382"/>
    </row>
    <row r="38">
      <c r="C38" s="382"/>
      <c r="D38" s="382"/>
    </row>
    <row r="39">
      <c r="C39" s="382"/>
      <c r="D39" s="382"/>
    </row>
    <row r="40">
      <c r="C40" s="382"/>
      <c r="D40" s="382"/>
    </row>
    <row r="41">
      <c r="C41" s="382"/>
      <c r="D41" s="382"/>
    </row>
    <row r="42">
      <c r="C42" s="382"/>
      <c r="D42" s="382"/>
    </row>
    <row r="43">
      <c r="C43" s="382"/>
      <c r="D43" s="382"/>
    </row>
    <row r="44">
      <c r="C44" s="382"/>
      <c r="D44" s="382"/>
    </row>
    <row r="45">
      <c r="C45" s="382"/>
      <c r="D45" s="382"/>
    </row>
    <row r="46">
      <c r="C46" s="382"/>
      <c r="D46" s="382"/>
    </row>
    <row r="47">
      <c r="C47" s="382"/>
      <c r="D47" s="382"/>
    </row>
    <row r="48">
      <c r="C48" s="382"/>
      <c r="D48" s="382"/>
    </row>
    <row r="49">
      <c r="C49" s="382"/>
      <c r="D49" s="382"/>
    </row>
    <row r="50">
      <c r="C50" s="382"/>
      <c r="D50" s="382"/>
    </row>
    <row r="51">
      <c r="C51" s="382"/>
      <c r="D51" s="382"/>
    </row>
    <row r="52">
      <c r="C52" s="382"/>
      <c r="D52" s="382"/>
    </row>
    <row r="53">
      <c r="C53" s="382"/>
      <c r="D53" s="382"/>
    </row>
    <row r="54">
      <c r="C54" s="382"/>
      <c r="D54" s="382"/>
    </row>
    <row r="55">
      <c r="C55" s="382"/>
      <c r="D55" s="382"/>
    </row>
    <row r="56">
      <c r="C56" s="382"/>
      <c r="D56" s="382"/>
    </row>
    <row r="57">
      <c r="C57" s="382"/>
      <c r="D57" s="382"/>
    </row>
    <row r="58">
      <c r="C58" s="382"/>
      <c r="D58" s="382"/>
    </row>
    <row r="59">
      <c r="C59" s="382"/>
      <c r="D59" s="382"/>
    </row>
    <row r="60">
      <c r="C60" s="382"/>
      <c r="D60" s="382"/>
    </row>
    <row r="61">
      <c r="C61" s="382"/>
      <c r="D61" s="382"/>
    </row>
    <row r="62">
      <c r="C62" s="382"/>
      <c r="D62" s="382"/>
    </row>
    <row r="63">
      <c r="C63" s="382"/>
      <c r="D63" s="382"/>
    </row>
    <row r="64">
      <c r="C64" s="382"/>
      <c r="D64" s="382"/>
    </row>
    <row r="65">
      <c r="C65" s="382"/>
      <c r="D65" s="382"/>
    </row>
    <row r="66">
      <c r="C66" s="382"/>
      <c r="D66" s="382"/>
    </row>
    <row r="67">
      <c r="C67" s="382"/>
      <c r="D67" s="382"/>
    </row>
    <row r="68">
      <c r="C68" s="382"/>
      <c r="D68" s="382"/>
    </row>
    <row r="69">
      <c r="C69" s="382"/>
      <c r="D69" s="382"/>
    </row>
    <row r="70">
      <c r="C70" s="382"/>
      <c r="D70" s="382"/>
    </row>
    <row r="71">
      <c r="C71" s="382"/>
      <c r="D71" s="382"/>
    </row>
    <row r="72">
      <c r="C72" s="382"/>
      <c r="D72" s="382"/>
    </row>
    <row r="73">
      <c r="C73" s="382"/>
      <c r="D73" s="382"/>
    </row>
    <row r="74">
      <c r="C74" s="382"/>
      <c r="D74" s="382"/>
    </row>
    <row r="75">
      <c r="C75" s="382"/>
      <c r="D75" s="382"/>
    </row>
    <row r="76">
      <c r="C76" s="382"/>
      <c r="D76" s="382"/>
    </row>
    <row r="77">
      <c r="C77" s="382"/>
      <c r="D77" s="382"/>
    </row>
    <row r="78">
      <c r="C78" s="382"/>
      <c r="D78" s="382"/>
    </row>
    <row r="79">
      <c r="C79" s="382"/>
      <c r="D79" s="382"/>
    </row>
    <row r="80">
      <c r="C80" s="382"/>
      <c r="D80" s="382"/>
    </row>
    <row r="81">
      <c r="C81" s="382"/>
      <c r="D81" s="382"/>
    </row>
    <row r="82">
      <c r="C82" s="382"/>
      <c r="D82" s="382"/>
    </row>
    <row r="83">
      <c r="C83" s="382"/>
      <c r="D83" s="382"/>
    </row>
    <row r="84">
      <c r="C84" s="382"/>
      <c r="D84" s="382"/>
    </row>
    <row r="85">
      <c r="C85" s="382"/>
      <c r="D85" s="382"/>
    </row>
    <row r="86">
      <c r="C86" s="382"/>
      <c r="D86" s="382"/>
    </row>
    <row r="87">
      <c r="C87" s="382"/>
      <c r="D87" s="382"/>
    </row>
    <row r="88">
      <c r="C88" s="382"/>
      <c r="D88" s="382"/>
    </row>
    <row r="89">
      <c r="C89" s="382"/>
      <c r="D89" s="382"/>
    </row>
    <row r="90">
      <c r="C90" s="382"/>
      <c r="D90" s="382"/>
    </row>
    <row r="91">
      <c r="C91" s="382"/>
      <c r="D91" s="382"/>
    </row>
    <row r="92">
      <c r="C92" s="382"/>
      <c r="D92" s="382"/>
    </row>
    <row r="93">
      <c r="C93" s="382"/>
      <c r="D93" s="382"/>
    </row>
    <row r="94">
      <c r="C94" s="382"/>
      <c r="D94" s="382"/>
    </row>
    <row r="95">
      <c r="C95" s="382"/>
      <c r="D95" s="382"/>
    </row>
    <row r="96">
      <c r="C96" s="382"/>
      <c r="D96" s="382"/>
    </row>
    <row r="97">
      <c r="C97" s="382"/>
      <c r="D97" s="382"/>
    </row>
    <row r="98">
      <c r="C98" s="382"/>
      <c r="D98" s="382"/>
    </row>
    <row r="99">
      <c r="C99" s="382"/>
      <c r="D99" s="382"/>
    </row>
    <row r="100">
      <c r="C100" s="382"/>
      <c r="D100" s="382"/>
    </row>
    <row r="101">
      <c r="C101" s="382"/>
      <c r="D101" s="382"/>
    </row>
    <row r="102">
      <c r="C102" s="382"/>
      <c r="D102" s="382"/>
    </row>
    <row r="103">
      <c r="C103" s="382"/>
      <c r="D103" s="382"/>
    </row>
    <row r="104">
      <c r="C104" s="382"/>
      <c r="D104" s="382"/>
    </row>
    <row r="105">
      <c r="C105" s="382"/>
      <c r="D105" s="382"/>
    </row>
    <row r="106">
      <c r="C106" s="382"/>
      <c r="D106" s="382"/>
    </row>
    <row r="107">
      <c r="C107" s="382"/>
      <c r="D107" s="382"/>
    </row>
    <row r="108">
      <c r="C108" s="382"/>
      <c r="D108" s="382"/>
    </row>
    <row r="109">
      <c r="C109" s="382"/>
      <c r="D109" s="382"/>
    </row>
    <row r="110">
      <c r="C110" s="382"/>
      <c r="D110" s="382"/>
    </row>
    <row r="111">
      <c r="C111" s="382"/>
      <c r="D111" s="382"/>
    </row>
    <row r="112">
      <c r="C112" s="382"/>
      <c r="D112" s="382"/>
    </row>
    <row r="113">
      <c r="C113" s="382"/>
      <c r="D113" s="382"/>
    </row>
    <row r="114">
      <c r="C114" s="382"/>
      <c r="D114" s="382"/>
    </row>
    <row r="115">
      <c r="C115" s="382"/>
      <c r="D115" s="382"/>
    </row>
    <row r="116">
      <c r="C116" s="382"/>
      <c r="D116" s="382"/>
    </row>
    <row r="117">
      <c r="C117" s="382"/>
      <c r="D117" s="382"/>
    </row>
    <row r="118">
      <c r="C118" s="382"/>
      <c r="D118" s="382"/>
    </row>
    <row r="119">
      <c r="C119" s="382"/>
      <c r="D119" s="382"/>
    </row>
    <row r="120">
      <c r="C120" s="382"/>
      <c r="D120" s="382"/>
    </row>
    <row r="121">
      <c r="C121" s="382"/>
      <c r="D121" s="382"/>
    </row>
    <row r="122">
      <c r="C122" s="382"/>
      <c r="D122" s="382"/>
    </row>
    <row r="123">
      <c r="C123" s="382"/>
      <c r="D123" s="382"/>
    </row>
    <row r="124">
      <c r="C124" s="382"/>
      <c r="D124" s="382"/>
    </row>
    <row r="125">
      <c r="C125" s="382"/>
      <c r="D125" s="382"/>
    </row>
    <row r="126">
      <c r="C126" s="382"/>
      <c r="D126" s="382"/>
    </row>
    <row r="127">
      <c r="C127" s="382"/>
      <c r="D127" s="382"/>
    </row>
    <row r="128">
      <c r="C128" s="382"/>
      <c r="D128" s="382"/>
    </row>
    <row r="129">
      <c r="C129" s="382"/>
      <c r="D129" s="382"/>
    </row>
    <row r="130">
      <c r="C130" s="382"/>
      <c r="D130" s="382"/>
    </row>
    <row r="131">
      <c r="C131" s="382"/>
      <c r="D131" s="382"/>
    </row>
    <row r="132">
      <c r="C132" s="382"/>
      <c r="D132" s="382"/>
    </row>
    <row r="133">
      <c r="C133" s="382"/>
      <c r="D133" s="382"/>
    </row>
    <row r="134">
      <c r="C134" s="382"/>
      <c r="D134" s="382"/>
    </row>
    <row r="135">
      <c r="C135" s="382"/>
      <c r="D135" s="382"/>
    </row>
    <row r="136">
      <c r="C136" s="382"/>
      <c r="D136" s="382"/>
    </row>
    <row r="137">
      <c r="C137" s="382"/>
      <c r="D137" s="382"/>
    </row>
    <row r="138">
      <c r="C138" s="382"/>
      <c r="D138" s="382"/>
    </row>
    <row r="139">
      <c r="C139" s="382"/>
      <c r="D139" s="382"/>
    </row>
    <row r="140">
      <c r="C140" s="382"/>
      <c r="D140" s="382"/>
    </row>
    <row r="141">
      <c r="C141" s="382"/>
      <c r="D141" s="382"/>
    </row>
    <row r="142">
      <c r="C142" s="382"/>
      <c r="D142" s="382"/>
    </row>
    <row r="143">
      <c r="C143" s="382"/>
      <c r="D143" s="382"/>
    </row>
    <row r="144">
      <c r="C144" s="382"/>
      <c r="D144" s="382"/>
    </row>
    <row r="145">
      <c r="C145" s="382"/>
      <c r="D145" s="382"/>
    </row>
    <row r="146">
      <c r="C146" s="382"/>
      <c r="D146" s="382"/>
    </row>
    <row r="147">
      <c r="C147" s="382"/>
      <c r="D147" s="382"/>
    </row>
    <row r="148">
      <c r="C148" s="382"/>
      <c r="D148" s="382"/>
    </row>
    <row r="149">
      <c r="C149" s="382"/>
      <c r="D149" s="382"/>
    </row>
    <row r="150">
      <c r="C150" s="382"/>
      <c r="D150" s="382"/>
    </row>
    <row r="151">
      <c r="C151" s="382"/>
      <c r="D151" s="382"/>
    </row>
    <row r="152">
      <c r="C152" s="382"/>
      <c r="D152" s="382"/>
    </row>
    <row r="153">
      <c r="C153" s="382"/>
      <c r="D153" s="382"/>
    </row>
    <row r="154">
      <c r="C154" s="382"/>
      <c r="D154" s="382"/>
    </row>
    <row r="155">
      <c r="C155" s="382"/>
      <c r="D155" s="382"/>
    </row>
    <row r="156">
      <c r="C156" s="382"/>
      <c r="D156" s="382"/>
    </row>
    <row r="157">
      <c r="C157" s="382"/>
      <c r="D157" s="382"/>
    </row>
    <row r="158">
      <c r="C158" s="382"/>
      <c r="D158" s="382"/>
    </row>
    <row r="159">
      <c r="C159" s="382"/>
      <c r="D159" s="382"/>
    </row>
    <row r="160">
      <c r="C160" s="382"/>
      <c r="D160" s="382"/>
    </row>
    <row r="161">
      <c r="C161" s="382"/>
      <c r="D161" s="382"/>
    </row>
    <row r="162">
      <c r="C162" s="382"/>
      <c r="D162" s="382"/>
    </row>
    <row r="163">
      <c r="C163" s="382"/>
      <c r="D163" s="382"/>
    </row>
    <row r="164">
      <c r="C164" s="382"/>
      <c r="D164" s="382"/>
    </row>
    <row r="165">
      <c r="C165" s="382"/>
      <c r="D165" s="382"/>
    </row>
    <row r="166">
      <c r="C166" s="382"/>
      <c r="D166" s="382"/>
    </row>
    <row r="167">
      <c r="C167" s="382"/>
      <c r="D167" s="382"/>
    </row>
    <row r="168">
      <c r="C168" s="382"/>
      <c r="D168" s="382"/>
    </row>
    <row r="169">
      <c r="C169" s="382"/>
      <c r="D169" s="382"/>
    </row>
    <row r="170">
      <c r="C170" s="382"/>
      <c r="D170" s="382"/>
    </row>
    <row r="171">
      <c r="C171" s="382"/>
      <c r="D171" s="382"/>
    </row>
    <row r="172">
      <c r="C172" s="382"/>
      <c r="D172" s="382"/>
    </row>
    <row r="173">
      <c r="C173" s="382"/>
      <c r="D173" s="382"/>
    </row>
    <row r="174">
      <c r="C174" s="382"/>
      <c r="D174" s="382"/>
    </row>
    <row r="175">
      <c r="C175" s="382"/>
      <c r="D175" s="382"/>
    </row>
    <row r="176">
      <c r="C176" s="382"/>
      <c r="D176" s="382"/>
    </row>
    <row r="177">
      <c r="C177" s="382"/>
      <c r="D177" s="382"/>
    </row>
    <row r="178">
      <c r="C178" s="382"/>
      <c r="D178" s="382"/>
    </row>
    <row r="179">
      <c r="C179" s="382"/>
      <c r="D179" s="382"/>
    </row>
    <row r="180">
      <c r="C180" s="382"/>
      <c r="D180" s="382"/>
    </row>
    <row r="181">
      <c r="C181" s="382"/>
      <c r="D181" s="382"/>
    </row>
    <row r="182">
      <c r="C182" s="382"/>
      <c r="D182" s="382"/>
    </row>
    <row r="183">
      <c r="C183" s="382"/>
      <c r="D183" s="382"/>
    </row>
    <row r="184">
      <c r="C184" s="382"/>
      <c r="D184" s="382"/>
    </row>
    <row r="185">
      <c r="C185" s="382"/>
      <c r="D185" s="382"/>
    </row>
    <row r="186">
      <c r="C186" s="382"/>
      <c r="D186" s="382"/>
    </row>
    <row r="187">
      <c r="C187" s="382"/>
      <c r="D187" s="382"/>
    </row>
    <row r="188">
      <c r="C188" s="382"/>
      <c r="D188" s="382"/>
    </row>
    <row r="189">
      <c r="C189" s="382"/>
      <c r="D189" s="382"/>
    </row>
    <row r="190">
      <c r="C190" s="382"/>
      <c r="D190" s="382"/>
    </row>
    <row r="191">
      <c r="C191" s="382"/>
      <c r="D191" s="382"/>
    </row>
    <row r="192">
      <c r="C192" s="382"/>
      <c r="D192" s="382"/>
    </row>
    <row r="193">
      <c r="C193" s="382"/>
      <c r="D193" s="382"/>
    </row>
    <row r="194">
      <c r="C194" s="382"/>
      <c r="D194" s="382"/>
    </row>
    <row r="195">
      <c r="C195" s="382"/>
      <c r="D195" s="382"/>
    </row>
    <row r="196">
      <c r="C196" s="382"/>
      <c r="D196" s="382"/>
    </row>
    <row r="197">
      <c r="C197" s="382"/>
      <c r="D197" s="382"/>
    </row>
    <row r="198">
      <c r="C198" s="382"/>
      <c r="D198" s="382"/>
    </row>
    <row r="199">
      <c r="C199" s="382"/>
      <c r="D199" s="382"/>
    </row>
    <row r="200">
      <c r="C200" s="382"/>
      <c r="D200" s="382"/>
    </row>
    <row r="201">
      <c r="C201" s="382"/>
      <c r="D201" s="382"/>
    </row>
    <row r="202">
      <c r="C202" s="382"/>
      <c r="D202" s="382"/>
    </row>
    <row r="203">
      <c r="C203" s="382"/>
      <c r="D203" s="382"/>
    </row>
    <row r="204">
      <c r="C204" s="382"/>
      <c r="D204" s="382"/>
    </row>
    <row r="205">
      <c r="C205" s="382"/>
      <c r="D205" s="382"/>
    </row>
    <row r="206">
      <c r="C206" s="382"/>
      <c r="D206" s="382"/>
    </row>
    <row r="207">
      <c r="C207" s="382"/>
      <c r="D207" s="382"/>
    </row>
    <row r="208">
      <c r="C208" s="382"/>
      <c r="D208" s="382"/>
    </row>
    <row r="209">
      <c r="C209" s="382"/>
      <c r="D209" s="382"/>
    </row>
    <row r="210">
      <c r="C210" s="382"/>
      <c r="D210" s="382"/>
    </row>
    <row r="211">
      <c r="C211" s="382"/>
      <c r="D211" s="382"/>
    </row>
    <row r="212">
      <c r="C212" s="382"/>
      <c r="D212" s="382"/>
    </row>
    <row r="213">
      <c r="C213" s="382"/>
      <c r="D213" s="382"/>
    </row>
    <row r="214">
      <c r="C214" s="382"/>
      <c r="D214" s="382"/>
    </row>
    <row r="215">
      <c r="C215" s="382"/>
      <c r="D215" s="382"/>
    </row>
    <row r="216">
      <c r="C216" s="382"/>
      <c r="D216" s="382"/>
    </row>
    <row r="217">
      <c r="C217" s="382"/>
      <c r="D217" s="382"/>
    </row>
    <row r="218">
      <c r="C218" s="382"/>
      <c r="D218" s="382"/>
    </row>
    <row r="219">
      <c r="C219" s="382"/>
      <c r="D219" s="382"/>
    </row>
    <row r="220">
      <c r="C220" s="382"/>
      <c r="D220" s="382"/>
    </row>
    <row r="221">
      <c r="C221" s="382"/>
      <c r="D221" s="382"/>
    </row>
    <row r="222">
      <c r="C222" s="382"/>
      <c r="D222" s="382"/>
    </row>
    <row r="223">
      <c r="C223" s="382"/>
      <c r="D223" s="382"/>
    </row>
    <row r="224">
      <c r="C224" s="382"/>
      <c r="D224" s="382"/>
    </row>
    <row r="225">
      <c r="C225" s="382"/>
      <c r="D225" s="382"/>
    </row>
    <row r="226">
      <c r="C226" s="382"/>
      <c r="D226" s="382"/>
    </row>
    <row r="227">
      <c r="C227" s="382"/>
      <c r="D227" s="382"/>
    </row>
    <row r="228">
      <c r="C228" s="382"/>
      <c r="D228" s="382"/>
    </row>
    <row r="229">
      <c r="C229" s="382"/>
      <c r="D229" s="382"/>
    </row>
    <row r="230">
      <c r="C230" s="382"/>
      <c r="D230" s="382"/>
    </row>
    <row r="231">
      <c r="C231" s="382"/>
      <c r="D231" s="382"/>
    </row>
    <row r="232">
      <c r="C232" s="382"/>
      <c r="D232" s="382"/>
    </row>
    <row r="233">
      <c r="C233" s="382"/>
      <c r="D233" s="382"/>
    </row>
    <row r="234">
      <c r="C234" s="382"/>
      <c r="D234" s="382"/>
    </row>
    <row r="235">
      <c r="C235" s="382"/>
      <c r="D235" s="382"/>
    </row>
    <row r="236">
      <c r="C236" s="382"/>
      <c r="D236" s="382"/>
    </row>
    <row r="237">
      <c r="C237" s="382"/>
      <c r="D237" s="382"/>
    </row>
    <row r="238">
      <c r="C238" s="382"/>
      <c r="D238" s="382"/>
    </row>
    <row r="239">
      <c r="C239" s="382"/>
      <c r="D239" s="382"/>
    </row>
    <row r="240">
      <c r="C240" s="382"/>
      <c r="D240" s="382"/>
    </row>
    <row r="241">
      <c r="C241" s="382"/>
      <c r="D241" s="382"/>
    </row>
    <row r="242">
      <c r="C242" s="382"/>
      <c r="D242" s="382"/>
    </row>
    <row r="243">
      <c r="C243" s="382"/>
      <c r="D243" s="382"/>
    </row>
    <row r="244">
      <c r="C244" s="382"/>
      <c r="D244" s="382"/>
    </row>
    <row r="245">
      <c r="C245" s="382"/>
      <c r="D245" s="382"/>
    </row>
    <row r="246">
      <c r="C246" s="382"/>
      <c r="D246" s="382"/>
    </row>
    <row r="247">
      <c r="C247" s="382"/>
      <c r="D247" s="382"/>
    </row>
    <row r="248">
      <c r="C248" s="382"/>
      <c r="D248" s="382"/>
    </row>
    <row r="249">
      <c r="C249" s="382"/>
      <c r="D249" s="382"/>
    </row>
    <row r="250">
      <c r="C250" s="382"/>
      <c r="D250" s="382"/>
    </row>
    <row r="251">
      <c r="C251" s="382"/>
      <c r="D251" s="382"/>
    </row>
    <row r="252">
      <c r="C252" s="382"/>
      <c r="D252" s="382"/>
    </row>
    <row r="253">
      <c r="C253" s="382"/>
      <c r="D253" s="382"/>
    </row>
    <row r="254">
      <c r="C254" s="382"/>
      <c r="D254" s="382"/>
    </row>
    <row r="255">
      <c r="C255" s="382"/>
      <c r="D255" s="382"/>
    </row>
    <row r="256">
      <c r="C256" s="382"/>
      <c r="D256" s="382"/>
    </row>
    <row r="257">
      <c r="C257" s="382"/>
      <c r="D257" s="382"/>
    </row>
    <row r="258">
      <c r="C258" s="382"/>
      <c r="D258" s="382"/>
    </row>
    <row r="259">
      <c r="C259" s="382"/>
      <c r="D259" s="382"/>
    </row>
    <row r="260">
      <c r="C260" s="382"/>
      <c r="D260" s="382"/>
    </row>
    <row r="261">
      <c r="C261" s="382"/>
      <c r="D261" s="382"/>
    </row>
    <row r="262">
      <c r="C262" s="382"/>
      <c r="D262" s="382"/>
    </row>
    <row r="263">
      <c r="C263" s="382"/>
      <c r="D263" s="382"/>
    </row>
    <row r="264">
      <c r="C264" s="382"/>
      <c r="D264" s="382"/>
    </row>
    <row r="265">
      <c r="C265" s="382"/>
      <c r="D265" s="382"/>
    </row>
    <row r="266">
      <c r="C266" s="382"/>
      <c r="D266" s="382"/>
    </row>
    <row r="267">
      <c r="C267" s="382"/>
      <c r="D267" s="382"/>
    </row>
    <row r="268">
      <c r="C268" s="382"/>
      <c r="D268" s="382"/>
    </row>
    <row r="269">
      <c r="C269" s="382"/>
      <c r="D269" s="382"/>
    </row>
    <row r="270">
      <c r="C270" s="382"/>
      <c r="D270" s="382"/>
    </row>
    <row r="271">
      <c r="C271" s="382"/>
      <c r="D271" s="382"/>
    </row>
    <row r="272">
      <c r="C272" s="382"/>
      <c r="D272" s="382"/>
    </row>
    <row r="273">
      <c r="C273" s="382"/>
      <c r="D273" s="382"/>
    </row>
    <row r="274">
      <c r="C274" s="382"/>
      <c r="D274" s="382"/>
    </row>
    <row r="275">
      <c r="C275" s="382"/>
      <c r="D275" s="382"/>
    </row>
    <row r="276">
      <c r="C276" s="382"/>
      <c r="D276" s="382"/>
    </row>
    <row r="277">
      <c r="C277" s="382"/>
      <c r="D277" s="382"/>
    </row>
    <row r="278">
      <c r="C278" s="382"/>
      <c r="D278" s="382"/>
    </row>
    <row r="279">
      <c r="C279" s="382"/>
      <c r="D279" s="382"/>
    </row>
    <row r="280">
      <c r="C280" s="382"/>
      <c r="D280" s="382"/>
    </row>
    <row r="281">
      <c r="C281" s="382"/>
      <c r="D281" s="382"/>
    </row>
    <row r="282">
      <c r="C282" s="382"/>
      <c r="D282" s="382"/>
    </row>
    <row r="283">
      <c r="C283" s="382"/>
      <c r="D283" s="382"/>
    </row>
    <row r="284">
      <c r="C284" s="382"/>
      <c r="D284" s="382"/>
    </row>
    <row r="285">
      <c r="C285" s="382"/>
      <c r="D285" s="382"/>
    </row>
    <row r="286">
      <c r="C286" s="382"/>
      <c r="D286" s="382"/>
    </row>
    <row r="287">
      <c r="C287" s="382"/>
      <c r="D287" s="382"/>
    </row>
    <row r="288">
      <c r="C288" s="382"/>
      <c r="D288" s="382"/>
    </row>
    <row r="289">
      <c r="C289" s="382"/>
      <c r="D289" s="382"/>
    </row>
    <row r="290">
      <c r="C290" s="382"/>
      <c r="D290" s="382"/>
    </row>
    <row r="291">
      <c r="C291" s="382"/>
      <c r="D291" s="382"/>
    </row>
    <row r="292">
      <c r="C292" s="382"/>
      <c r="D292" s="382"/>
    </row>
    <row r="293">
      <c r="C293" s="382"/>
      <c r="D293" s="382"/>
    </row>
    <row r="294">
      <c r="C294" s="382"/>
      <c r="D294" s="382"/>
    </row>
    <row r="295">
      <c r="C295" s="382"/>
      <c r="D295" s="382"/>
    </row>
    <row r="296">
      <c r="C296" s="382"/>
      <c r="D296" s="382"/>
    </row>
    <row r="297">
      <c r="C297" s="382"/>
      <c r="D297" s="382"/>
    </row>
    <row r="298">
      <c r="C298" s="382"/>
      <c r="D298" s="382"/>
    </row>
    <row r="299">
      <c r="C299" s="382"/>
      <c r="D299" s="382"/>
    </row>
    <row r="300">
      <c r="C300" s="382"/>
      <c r="D300" s="382"/>
    </row>
    <row r="301">
      <c r="C301" s="382"/>
      <c r="D301" s="382"/>
    </row>
    <row r="302">
      <c r="C302" s="382"/>
      <c r="D302" s="382"/>
    </row>
    <row r="303">
      <c r="C303" s="382"/>
      <c r="D303" s="382"/>
    </row>
    <row r="304">
      <c r="C304" s="382"/>
      <c r="D304" s="382"/>
    </row>
    <row r="305">
      <c r="C305" s="382"/>
      <c r="D305" s="382"/>
    </row>
    <row r="306">
      <c r="C306" s="382"/>
      <c r="D306" s="382"/>
    </row>
    <row r="307">
      <c r="C307" s="382"/>
      <c r="D307" s="382"/>
    </row>
    <row r="308">
      <c r="C308" s="382"/>
      <c r="D308" s="382"/>
    </row>
    <row r="309">
      <c r="C309" s="382"/>
      <c r="D309" s="382"/>
    </row>
    <row r="310">
      <c r="C310" s="382"/>
      <c r="D310" s="382"/>
    </row>
    <row r="311">
      <c r="C311" s="382"/>
      <c r="D311" s="382"/>
    </row>
    <row r="312">
      <c r="C312" s="382"/>
      <c r="D312" s="382"/>
    </row>
    <row r="313">
      <c r="C313" s="382"/>
      <c r="D313" s="382"/>
    </row>
    <row r="314">
      <c r="C314" s="382"/>
      <c r="D314" s="382"/>
    </row>
    <row r="315">
      <c r="C315" s="382"/>
      <c r="D315" s="382"/>
    </row>
    <row r="316">
      <c r="C316" s="382"/>
      <c r="D316" s="382"/>
    </row>
    <row r="317">
      <c r="C317" s="382"/>
      <c r="D317" s="382"/>
    </row>
    <row r="318">
      <c r="C318" s="382"/>
      <c r="D318" s="382"/>
    </row>
    <row r="319">
      <c r="C319" s="382"/>
      <c r="D319" s="382"/>
    </row>
    <row r="320">
      <c r="C320" s="382"/>
      <c r="D320" s="382"/>
    </row>
    <row r="321">
      <c r="C321" s="382"/>
      <c r="D321" s="382"/>
    </row>
    <row r="322">
      <c r="C322" s="382"/>
      <c r="D322" s="382"/>
    </row>
    <row r="323">
      <c r="C323" s="382"/>
      <c r="D323" s="382"/>
    </row>
    <row r="324">
      <c r="C324" s="382"/>
      <c r="D324" s="382"/>
    </row>
    <row r="325">
      <c r="C325" s="382"/>
      <c r="D325" s="382"/>
    </row>
    <row r="326">
      <c r="C326" s="382"/>
      <c r="D326" s="382"/>
    </row>
    <row r="327">
      <c r="C327" s="382"/>
      <c r="D327" s="382"/>
    </row>
    <row r="328">
      <c r="C328" s="382"/>
      <c r="D328" s="382"/>
    </row>
    <row r="329">
      <c r="C329" s="382"/>
      <c r="D329" s="382"/>
    </row>
    <row r="330">
      <c r="C330" s="382"/>
      <c r="D330" s="382"/>
    </row>
    <row r="331">
      <c r="C331" s="382"/>
      <c r="D331" s="382"/>
    </row>
    <row r="332">
      <c r="C332" s="382"/>
      <c r="D332" s="382"/>
    </row>
    <row r="333">
      <c r="C333" s="382"/>
      <c r="D333" s="382"/>
    </row>
    <row r="334">
      <c r="C334" s="382"/>
      <c r="D334" s="382"/>
    </row>
    <row r="335">
      <c r="C335" s="382"/>
      <c r="D335" s="382"/>
    </row>
    <row r="336">
      <c r="C336" s="382"/>
      <c r="D336" s="382"/>
    </row>
    <row r="337">
      <c r="C337" s="382"/>
      <c r="D337" s="382"/>
    </row>
    <row r="338">
      <c r="C338" s="382"/>
      <c r="D338" s="382"/>
    </row>
    <row r="339">
      <c r="C339" s="382"/>
      <c r="D339" s="382"/>
    </row>
    <row r="340">
      <c r="C340" s="382"/>
      <c r="D340" s="382"/>
    </row>
    <row r="341">
      <c r="C341" s="382"/>
      <c r="D341" s="382"/>
    </row>
    <row r="342">
      <c r="C342" s="382"/>
      <c r="D342" s="382"/>
    </row>
    <row r="343">
      <c r="C343" s="382"/>
      <c r="D343" s="382"/>
    </row>
    <row r="344">
      <c r="C344" s="382"/>
      <c r="D344" s="382"/>
    </row>
    <row r="345">
      <c r="C345" s="382"/>
      <c r="D345" s="382"/>
    </row>
    <row r="346">
      <c r="C346" s="382"/>
      <c r="D346" s="382"/>
    </row>
    <row r="347">
      <c r="C347" s="382"/>
      <c r="D347" s="382"/>
    </row>
    <row r="348">
      <c r="C348" s="382"/>
      <c r="D348" s="382"/>
    </row>
    <row r="349">
      <c r="C349" s="382"/>
      <c r="D349" s="382"/>
    </row>
    <row r="350">
      <c r="C350" s="382"/>
      <c r="D350" s="382"/>
    </row>
    <row r="351">
      <c r="C351" s="382"/>
      <c r="D351" s="382"/>
    </row>
    <row r="352">
      <c r="C352" s="382"/>
      <c r="D352" s="382"/>
    </row>
    <row r="353">
      <c r="C353" s="382"/>
      <c r="D353" s="382"/>
    </row>
    <row r="354">
      <c r="C354" s="382"/>
      <c r="D354" s="382"/>
    </row>
    <row r="355">
      <c r="C355" s="382"/>
      <c r="D355" s="382"/>
    </row>
    <row r="356">
      <c r="C356" s="382"/>
      <c r="D356" s="382"/>
    </row>
    <row r="357">
      <c r="C357" s="382"/>
      <c r="D357" s="382"/>
    </row>
    <row r="358">
      <c r="C358" s="382"/>
      <c r="D358" s="382"/>
    </row>
    <row r="359">
      <c r="C359" s="382"/>
      <c r="D359" s="382"/>
    </row>
    <row r="360">
      <c r="C360" s="382"/>
      <c r="D360" s="382"/>
    </row>
    <row r="361">
      <c r="C361" s="382"/>
      <c r="D361" s="382"/>
    </row>
    <row r="362">
      <c r="C362" s="382"/>
      <c r="D362" s="382"/>
    </row>
    <row r="363">
      <c r="C363" s="382"/>
      <c r="D363" s="382"/>
    </row>
    <row r="364">
      <c r="C364" s="382"/>
      <c r="D364" s="382"/>
    </row>
    <row r="365">
      <c r="C365" s="382"/>
      <c r="D365" s="382"/>
    </row>
    <row r="366">
      <c r="C366" s="382"/>
      <c r="D366" s="382"/>
    </row>
    <row r="367">
      <c r="C367" s="382"/>
      <c r="D367" s="382"/>
    </row>
    <row r="368">
      <c r="C368" s="382"/>
      <c r="D368" s="382"/>
    </row>
    <row r="369">
      <c r="C369" s="382"/>
      <c r="D369" s="382"/>
    </row>
    <row r="370">
      <c r="C370" s="382"/>
      <c r="D370" s="382"/>
    </row>
    <row r="371">
      <c r="C371" s="382"/>
      <c r="D371" s="382"/>
    </row>
    <row r="372">
      <c r="C372" s="382"/>
      <c r="D372" s="382"/>
    </row>
    <row r="373">
      <c r="C373" s="382"/>
      <c r="D373" s="382"/>
    </row>
    <row r="374">
      <c r="C374" s="382"/>
      <c r="D374" s="382"/>
    </row>
    <row r="375">
      <c r="C375" s="382"/>
      <c r="D375" s="382"/>
    </row>
    <row r="376">
      <c r="C376" s="382"/>
      <c r="D376" s="382"/>
    </row>
    <row r="377">
      <c r="C377" s="382"/>
      <c r="D377" s="382"/>
    </row>
    <row r="378">
      <c r="C378" s="382"/>
      <c r="D378" s="382"/>
    </row>
    <row r="379">
      <c r="C379" s="382"/>
      <c r="D379" s="382"/>
    </row>
    <row r="380">
      <c r="C380" s="382"/>
      <c r="D380" s="382"/>
    </row>
    <row r="381">
      <c r="C381" s="382"/>
      <c r="D381" s="382"/>
    </row>
    <row r="382">
      <c r="C382" s="382"/>
      <c r="D382" s="382"/>
    </row>
    <row r="383">
      <c r="C383" s="382"/>
      <c r="D383" s="382"/>
    </row>
    <row r="384">
      <c r="C384" s="382"/>
      <c r="D384" s="382"/>
    </row>
    <row r="385">
      <c r="C385" s="382"/>
      <c r="D385" s="382"/>
    </row>
    <row r="386">
      <c r="C386" s="382"/>
      <c r="D386" s="382"/>
    </row>
    <row r="387">
      <c r="C387" s="382"/>
      <c r="D387" s="382"/>
    </row>
    <row r="388">
      <c r="C388" s="382"/>
      <c r="D388" s="382"/>
    </row>
    <row r="389">
      <c r="C389" s="382"/>
      <c r="D389" s="382"/>
    </row>
    <row r="390">
      <c r="C390" s="382"/>
      <c r="D390" s="382"/>
    </row>
    <row r="391">
      <c r="C391" s="382"/>
      <c r="D391" s="382"/>
    </row>
    <row r="392">
      <c r="C392" s="382"/>
      <c r="D392" s="382"/>
    </row>
    <row r="393">
      <c r="C393" s="382"/>
      <c r="D393" s="382"/>
    </row>
    <row r="394">
      <c r="C394" s="382"/>
      <c r="D394" s="382"/>
    </row>
    <row r="395">
      <c r="C395" s="382"/>
      <c r="D395" s="382"/>
    </row>
    <row r="396">
      <c r="C396" s="382"/>
      <c r="D396" s="382"/>
    </row>
    <row r="397">
      <c r="C397" s="382"/>
      <c r="D397" s="382"/>
    </row>
    <row r="398">
      <c r="C398" s="382"/>
      <c r="D398" s="382"/>
    </row>
    <row r="399">
      <c r="C399" s="382"/>
      <c r="D399" s="382"/>
    </row>
    <row r="400">
      <c r="C400" s="382"/>
      <c r="D400" s="382"/>
    </row>
    <row r="401">
      <c r="C401" s="382"/>
      <c r="D401" s="382"/>
    </row>
    <row r="402">
      <c r="C402" s="382"/>
      <c r="D402" s="382"/>
    </row>
    <row r="403">
      <c r="C403" s="382"/>
      <c r="D403" s="382"/>
    </row>
    <row r="404">
      <c r="C404" s="382"/>
      <c r="D404" s="382"/>
    </row>
    <row r="405">
      <c r="C405" s="382"/>
      <c r="D405" s="382"/>
    </row>
    <row r="406">
      <c r="C406" s="382"/>
      <c r="D406" s="382"/>
    </row>
    <row r="407">
      <c r="C407" s="382"/>
      <c r="D407" s="382"/>
    </row>
    <row r="408">
      <c r="C408" s="382"/>
      <c r="D408" s="382"/>
    </row>
    <row r="409">
      <c r="C409" s="382"/>
      <c r="D409" s="382"/>
    </row>
    <row r="410">
      <c r="C410" s="382"/>
      <c r="D410" s="382"/>
    </row>
    <row r="411">
      <c r="C411" s="382"/>
      <c r="D411" s="382"/>
    </row>
    <row r="412">
      <c r="C412" s="382"/>
      <c r="D412" s="382"/>
    </row>
    <row r="413">
      <c r="C413" s="382"/>
      <c r="D413" s="382"/>
    </row>
    <row r="414">
      <c r="C414" s="382"/>
      <c r="D414" s="382"/>
    </row>
    <row r="415">
      <c r="C415" s="382"/>
      <c r="D415" s="382"/>
    </row>
    <row r="416">
      <c r="C416" s="382"/>
      <c r="D416" s="382"/>
    </row>
    <row r="417">
      <c r="C417" s="382"/>
      <c r="D417" s="382"/>
    </row>
    <row r="418">
      <c r="C418" s="382"/>
      <c r="D418" s="382"/>
    </row>
    <row r="419">
      <c r="C419" s="382"/>
      <c r="D419" s="382"/>
    </row>
    <row r="420">
      <c r="C420" s="382"/>
      <c r="D420" s="382"/>
    </row>
    <row r="421">
      <c r="C421" s="382"/>
      <c r="D421" s="382"/>
    </row>
    <row r="422">
      <c r="C422" s="382"/>
      <c r="D422" s="382"/>
    </row>
    <row r="423">
      <c r="C423" s="382"/>
      <c r="D423" s="382"/>
    </row>
    <row r="424">
      <c r="C424" s="382"/>
      <c r="D424" s="382"/>
    </row>
    <row r="425">
      <c r="C425" s="382"/>
      <c r="D425" s="382"/>
    </row>
    <row r="426">
      <c r="C426" s="382"/>
      <c r="D426" s="382"/>
    </row>
    <row r="427">
      <c r="C427" s="382"/>
      <c r="D427" s="382"/>
    </row>
    <row r="428">
      <c r="C428" s="382"/>
      <c r="D428" s="382"/>
    </row>
    <row r="429">
      <c r="C429" s="382"/>
      <c r="D429" s="382"/>
    </row>
    <row r="430">
      <c r="C430" s="382"/>
      <c r="D430" s="382"/>
    </row>
    <row r="431">
      <c r="C431" s="382"/>
      <c r="D431" s="382"/>
    </row>
    <row r="432">
      <c r="C432" s="382"/>
      <c r="D432" s="382"/>
    </row>
    <row r="433">
      <c r="C433" s="382"/>
      <c r="D433" s="382"/>
    </row>
    <row r="434">
      <c r="C434" s="382"/>
      <c r="D434" s="382"/>
    </row>
    <row r="435">
      <c r="C435" s="382"/>
      <c r="D435" s="382"/>
    </row>
    <row r="436">
      <c r="C436" s="382"/>
      <c r="D436" s="382"/>
    </row>
    <row r="437">
      <c r="C437" s="382"/>
      <c r="D437" s="382"/>
    </row>
    <row r="438">
      <c r="C438" s="382"/>
      <c r="D438" s="382"/>
    </row>
    <row r="439">
      <c r="C439" s="382"/>
      <c r="D439" s="382"/>
    </row>
    <row r="440">
      <c r="C440" s="382"/>
      <c r="D440" s="382"/>
    </row>
    <row r="441">
      <c r="C441" s="382"/>
      <c r="D441" s="382"/>
    </row>
    <row r="442">
      <c r="C442" s="382"/>
      <c r="D442" s="382"/>
    </row>
    <row r="443">
      <c r="C443" s="382"/>
      <c r="D443" s="382"/>
    </row>
    <row r="444">
      <c r="C444" s="382"/>
      <c r="D444" s="382"/>
    </row>
    <row r="445">
      <c r="C445" s="382"/>
      <c r="D445" s="382"/>
    </row>
    <row r="446">
      <c r="C446" s="382"/>
      <c r="D446" s="382"/>
    </row>
    <row r="447">
      <c r="C447" s="382"/>
      <c r="D447" s="382"/>
    </row>
    <row r="448">
      <c r="C448" s="382"/>
      <c r="D448" s="382"/>
    </row>
    <row r="449">
      <c r="C449" s="382"/>
      <c r="D449" s="382"/>
    </row>
    <row r="450">
      <c r="C450" s="382"/>
      <c r="D450" s="382"/>
    </row>
    <row r="451">
      <c r="C451" s="382"/>
      <c r="D451" s="382"/>
    </row>
    <row r="452">
      <c r="C452" s="382"/>
      <c r="D452" s="382"/>
    </row>
    <row r="453">
      <c r="C453" s="382"/>
      <c r="D453" s="382"/>
    </row>
    <row r="454">
      <c r="C454" s="382"/>
      <c r="D454" s="382"/>
    </row>
    <row r="455">
      <c r="C455" s="382"/>
      <c r="D455" s="382"/>
    </row>
    <row r="456">
      <c r="C456" s="382"/>
      <c r="D456" s="382"/>
    </row>
    <row r="457">
      <c r="C457" s="382"/>
      <c r="D457" s="382"/>
    </row>
    <row r="458">
      <c r="C458" s="382"/>
      <c r="D458" s="382"/>
    </row>
    <row r="459">
      <c r="C459" s="382"/>
      <c r="D459" s="382"/>
    </row>
    <row r="460">
      <c r="C460" s="382"/>
      <c r="D460" s="382"/>
    </row>
    <row r="461">
      <c r="C461" s="382"/>
      <c r="D461" s="382"/>
    </row>
    <row r="462">
      <c r="C462" s="382"/>
      <c r="D462" s="382"/>
    </row>
    <row r="463">
      <c r="C463" s="382"/>
      <c r="D463" s="382"/>
    </row>
    <row r="464">
      <c r="C464" s="382"/>
      <c r="D464" s="382"/>
    </row>
    <row r="465">
      <c r="C465" s="382"/>
      <c r="D465" s="382"/>
    </row>
    <row r="466">
      <c r="C466" s="382"/>
      <c r="D466" s="382"/>
    </row>
    <row r="467">
      <c r="C467" s="382"/>
      <c r="D467" s="382"/>
    </row>
    <row r="468">
      <c r="C468" s="382"/>
      <c r="D468" s="382"/>
    </row>
    <row r="469">
      <c r="C469" s="382"/>
      <c r="D469" s="382"/>
    </row>
    <row r="470">
      <c r="C470" s="382"/>
      <c r="D470" s="382"/>
    </row>
    <row r="471">
      <c r="C471" s="382"/>
      <c r="D471" s="382"/>
    </row>
    <row r="472">
      <c r="C472" s="382"/>
      <c r="D472" s="382"/>
    </row>
    <row r="473">
      <c r="C473" s="382"/>
      <c r="D473" s="382"/>
    </row>
    <row r="474">
      <c r="C474" s="382"/>
      <c r="D474" s="382"/>
    </row>
    <row r="475">
      <c r="C475" s="382"/>
      <c r="D475" s="382"/>
    </row>
    <row r="476">
      <c r="C476" s="382"/>
      <c r="D476" s="382"/>
    </row>
    <row r="477">
      <c r="C477" s="382"/>
      <c r="D477" s="382"/>
    </row>
    <row r="478">
      <c r="C478" s="382"/>
      <c r="D478" s="382"/>
    </row>
    <row r="479">
      <c r="C479" s="382"/>
      <c r="D479" s="382"/>
    </row>
    <row r="480">
      <c r="C480" s="382"/>
      <c r="D480" s="382"/>
    </row>
    <row r="481">
      <c r="C481" s="382"/>
      <c r="D481" s="382"/>
    </row>
    <row r="482">
      <c r="C482" s="382"/>
      <c r="D482" s="382"/>
    </row>
    <row r="483">
      <c r="C483" s="382"/>
      <c r="D483" s="382"/>
    </row>
    <row r="484">
      <c r="C484" s="382"/>
      <c r="D484" s="382"/>
    </row>
    <row r="485">
      <c r="C485" s="382"/>
      <c r="D485" s="382"/>
    </row>
    <row r="486">
      <c r="C486" s="382"/>
      <c r="D486" s="382"/>
    </row>
    <row r="487">
      <c r="C487" s="382"/>
      <c r="D487" s="382"/>
    </row>
    <row r="488">
      <c r="C488" s="382"/>
      <c r="D488" s="382"/>
    </row>
    <row r="489">
      <c r="C489" s="382"/>
      <c r="D489" s="382"/>
    </row>
    <row r="490">
      <c r="C490" s="382"/>
      <c r="D490" s="382"/>
    </row>
    <row r="491">
      <c r="C491" s="382"/>
      <c r="D491" s="382"/>
    </row>
    <row r="492">
      <c r="C492" s="382"/>
      <c r="D492" s="382"/>
    </row>
    <row r="493">
      <c r="C493" s="382"/>
      <c r="D493" s="382"/>
    </row>
    <row r="494">
      <c r="C494" s="382"/>
      <c r="D494" s="382"/>
    </row>
    <row r="495">
      <c r="C495" s="382"/>
      <c r="D495" s="382"/>
    </row>
    <row r="496">
      <c r="C496" s="382"/>
      <c r="D496" s="382"/>
    </row>
    <row r="497">
      <c r="C497" s="382"/>
      <c r="D497" s="382"/>
    </row>
    <row r="498">
      <c r="C498" s="382"/>
      <c r="D498" s="382"/>
    </row>
    <row r="499">
      <c r="C499" s="382"/>
      <c r="D499" s="382"/>
    </row>
    <row r="500">
      <c r="C500" s="382"/>
      <c r="D500" s="382"/>
    </row>
    <row r="501">
      <c r="C501" s="382"/>
      <c r="D501" s="382"/>
    </row>
    <row r="502">
      <c r="C502" s="382"/>
      <c r="D502" s="382"/>
    </row>
    <row r="503">
      <c r="C503" s="382"/>
      <c r="D503" s="382"/>
    </row>
    <row r="504">
      <c r="C504" s="382"/>
      <c r="D504" s="382"/>
    </row>
    <row r="505">
      <c r="C505" s="382"/>
      <c r="D505" s="382"/>
    </row>
    <row r="506">
      <c r="C506" s="382"/>
      <c r="D506" s="382"/>
    </row>
    <row r="507">
      <c r="C507" s="382"/>
      <c r="D507" s="382"/>
    </row>
    <row r="508">
      <c r="C508" s="382"/>
      <c r="D508" s="382"/>
    </row>
    <row r="509">
      <c r="C509" s="382"/>
      <c r="D509" s="382"/>
    </row>
    <row r="510">
      <c r="C510" s="382"/>
      <c r="D510" s="382"/>
    </row>
    <row r="511">
      <c r="C511" s="382"/>
      <c r="D511" s="382"/>
    </row>
    <row r="512">
      <c r="C512" s="382"/>
      <c r="D512" s="382"/>
    </row>
    <row r="513">
      <c r="C513" s="382"/>
      <c r="D513" s="382"/>
    </row>
    <row r="514">
      <c r="C514" s="382"/>
      <c r="D514" s="382"/>
    </row>
    <row r="515">
      <c r="C515" s="382"/>
      <c r="D515" s="382"/>
    </row>
    <row r="516">
      <c r="C516" s="382"/>
      <c r="D516" s="382"/>
    </row>
    <row r="517">
      <c r="C517" s="382"/>
      <c r="D517" s="382"/>
    </row>
    <row r="518">
      <c r="C518" s="382"/>
      <c r="D518" s="382"/>
    </row>
    <row r="519">
      <c r="C519" s="382"/>
      <c r="D519" s="382"/>
    </row>
    <row r="520">
      <c r="C520" s="382"/>
      <c r="D520" s="382"/>
    </row>
    <row r="521">
      <c r="C521" s="382"/>
      <c r="D521" s="382"/>
    </row>
    <row r="522">
      <c r="C522" s="382"/>
      <c r="D522" s="382"/>
    </row>
    <row r="523">
      <c r="C523" s="382"/>
      <c r="D523" s="382"/>
    </row>
    <row r="524">
      <c r="C524" s="382"/>
      <c r="D524" s="382"/>
    </row>
    <row r="525">
      <c r="C525" s="382"/>
      <c r="D525" s="382"/>
    </row>
    <row r="526">
      <c r="C526" s="382"/>
      <c r="D526" s="382"/>
    </row>
    <row r="527">
      <c r="C527" s="382"/>
      <c r="D527" s="382"/>
    </row>
    <row r="528">
      <c r="C528" s="382"/>
      <c r="D528" s="382"/>
    </row>
    <row r="529">
      <c r="C529" s="382"/>
      <c r="D529" s="382"/>
    </row>
    <row r="530">
      <c r="C530" s="382"/>
      <c r="D530" s="382"/>
    </row>
    <row r="531">
      <c r="C531" s="382"/>
      <c r="D531" s="382"/>
    </row>
    <row r="532">
      <c r="C532" s="382"/>
      <c r="D532" s="382"/>
    </row>
    <row r="533">
      <c r="C533" s="382"/>
      <c r="D533" s="382"/>
    </row>
    <row r="534">
      <c r="C534" s="382"/>
      <c r="D534" s="382"/>
    </row>
    <row r="535">
      <c r="C535" s="382"/>
      <c r="D535" s="382"/>
    </row>
    <row r="536">
      <c r="C536" s="382"/>
      <c r="D536" s="382"/>
    </row>
    <row r="537">
      <c r="C537" s="382"/>
      <c r="D537" s="382"/>
    </row>
    <row r="538">
      <c r="C538" s="382"/>
      <c r="D538" s="382"/>
    </row>
    <row r="539">
      <c r="C539" s="382"/>
      <c r="D539" s="382"/>
    </row>
    <row r="540">
      <c r="C540" s="382"/>
      <c r="D540" s="382"/>
    </row>
    <row r="541">
      <c r="C541" s="382"/>
      <c r="D541" s="382"/>
    </row>
    <row r="542">
      <c r="C542" s="382"/>
      <c r="D542" s="382"/>
    </row>
    <row r="543">
      <c r="C543" s="382"/>
      <c r="D543" s="382"/>
    </row>
    <row r="544">
      <c r="C544" s="382"/>
      <c r="D544" s="382"/>
    </row>
    <row r="545">
      <c r="C545" s="382"/>
      <c r="D545" s="382"/>
    </row>
    <row r="546">
      <c r="C546" s="382"/>
      <c r="D546" s="382"/>
    </row>
    <row r="547">
      <c r="C547" s="382"/>
      <c r="D547" s="382"/>
    </row>
    <row r="548">
      <c r="C548" s="382"/>
      <c r="D548" s="382"/>
    </row>
    <row r="549">
      <c r="C549" s="382"/>
      <c r="D549" s="382"/>
    </row>
    <row r="550">
      <c r="C550" s="382"/>
      <c r="D550" s="382"/>
    </row>
    <row r="551">
      <c r="C551" s="382"/>
      <c r="D551" s="382"/>
    </row>
    <row r="552">
      <c r="C552" s="382"/>
      <c r="D552" s="382"/>
    </row>
    <row r="553">
      <c r="C553" s="382"/>
      <c r="D553" s="382"/>
    </row>
    <row r="554">
      <c r="C554" s="382"/>
      <c r="D554" s="382"/>
    </row>
    <row r="555">
      <c r="C555" s="382"/>
      <c r="D555" s="382"/>
    </row>
    <row r="556">
      <c r="C556" s="382"/>
      <c r="D556" s="382"/>
    </row>
    <row r="557">
      <c r="C557" s="382"/>
      <c r="D557" s="382"/>
    </row>
    <row r="558">
      <c r="C558" s="382"/>
      <c r="D558" s="382"/>
    </row>
    <row r="559">
      <c r="C559" s="382"/>
      <c r="D559" s="382"/>
    </row>
    <row r="560">
      <c r="C560" s="382"/>
      <c r="D560" s="382"/>
    </row>
    <row r="561">
      <c r="C561" s="382"/>
      <c r="D561" s="382"/>
    </row>
    <row r="562">
      <c r="C562" s="382"/>
      <c r="D562" s="382"/>
    </row>
    <row r="563">
      <c r="C563" s="382"/>
      <c r="D563" s="382"/>
    </row>
    <row r="564">
      <c r="C564" s="382"/>
      <c r="D564" s="382"/>
    </row>
    <row r="565">
      <c r="C565" s="382"/>
      <c r="D565" s="382"/>
    </row>
    <row r="566">
      <c r="C566" s="382"/>
      <c r="D566" s="382"/>
    </row>
    <row r="567">
      <c r="C567" s="382"/>
      <c r="D567" s="382"/>
    </row>
    <row r="568">
      <c r="C568" s="382"/>
      <c r="D568" s="382"/>
    </row>
    <row r="569">
      <c r="C569" s="382"/>
      <c r="D569" s="382"/>
    </row>
    <row r="570">
      <c r="C570" s="382"/>
      <c r="D570" s="382"/>
    </row>
    <row r="571">
      <c r="C571" s="382"/>
      <c r="D571" s="382"/>
    </row>
    <row r="572">
      <c r="C572" s="382"/>
      <c r="D572" s="382"/>
    </row>
    <row r="573">
      <c r="C573" s="382"/>
      <c r="D573" s="382"/>
    </row>
    <row r="574">
      <c r="C574" s="382"/>
      <c r="D574" s="382"/>
    </row>
    <row r="575">
      <c r="C575" s="382"/>
      <c r="D575" s="382"/>
    </row>
    <row r="576">
      <c r="C576" s="382"/>
      <c r="D576" s="382"/>
    </row>
    <row r="577">
      <c r="C577" s="382"/>
      <c r="D577" s="382"/>
    </row>
    <row r="578">
      <c r="C578" s="382"/>
      <c r="D578" s="382"/>
    </row>
    <row r="579">
      <c r="C579" s="382"/>
      <c r="D579" s="382"/>
    </row>
    <row r="580">
      <c r="C580" s="382"/>
      <c r="D580" s="382"/>
    </row>
    <row r="581">
      <c r="C581" s="382"/>
      <c r="D581" s="382"/>
    </row>
    <row r="582">
      <c r="C582" s="382"/>
      <c r="D582" s="382"/>
    </row>
    <row r="583">
      <c r="C583" s="382"/>
      <c r="D583" s="382"/>
    </row>
    <row r="584">
      <c r="C584" s="382"/>
      <c r="D584" s="382"/>
    </row>
    <row r="585">
      <c r="C585" s="382"/>
      <c r="D585" s="382"/>
    </row>
    <row r="586">
      <c r="C586" s="382"/>
      <c r="D586" s="382"/>
    </row>
    <row r="587">
      <c r="C587" s="382"/>
      <c r="D587" s="382"/>
    </row>
    <row r="588">
      <c r="C588" s="382"/>
      <c r="D588" s="382"/>
    </row>
    <row r="589">
      <c r="C589" s="382"/>
      <c r="D589" s="382"/>
    </row>
    <row r="590">
      <c r="C590" s="382"/>
      <c r="D590" s="382"/>
    </row>
    <row r="591">
      <c r="C591" s="382"/>
      <c r="D591" s="382"/>
    </row>
    <row r="592">
      <c r="C592" s="382"/>
      <c r="D592" s="382"/>
    </row>
    <row r="593">
      <c r="C593" s="382"/>
      <c r="D593" s="382"/>
    </row>
    <row r="594">
      <c r="C594" s="382"/>
      <c r="D594" s="382"/>
    </row>
    <row r="595">
      <c r="C595" s="382"/>
      <c r="D595" s="382"/>
    </row>
    <row r="596">
      <c r="C596" s="382"/>
      <c r="D596" s="382"/>
    </row>
    <row r="597">
      <c r="C597" s="382"/>
      <c r="D597" s="382"/>
    </row>
    <row r="598">
      <c r="C598" s="382"/>
      <c r="D598" s="382"/>
    </row>
    <row r="599">
      <c r="C599" s="382"/>
      <c r="D599" s="382"/>
    </row>
    <row r="600">
      <c r="C600" s="382"/>
      <c r="D600" s="382"/>
    </row>
    <row r="601">
      <c r="C601" s="382"/>
      <c r="D601" s="382"/>
    </row>
    <row r="602">
      <c r="C602" s="382"/>
      <c r="D602" s="382"/>
    </row>
    <row r="603">
      <c r="C603" s="382"/>
      <c r="D603" s="382"/>
    </row>
    <row r="604">
      <c r="C604" s="382"/>
      <c r="D604" s="382"/>
    </row>
    <row r="605">
      <c r="C605" s="382"/>
      <c r="D605" s="382"/>
    </row>
    <row r="606">
      <c r="C606" s="382"/>
      <c r="D606" s="382"/>
    </row>
    <row r="607">
      <c r="C607" s="382"/>
      <c r="D607" s="382"/>
    </row>
    <row r="608">
      <c r="C608" s="382"/>
      <c r="D608" s="382"/>
    </row>
    <row r="609">
      <c r="C609" s="382"/>
      <c r="D609" s="382"/>
    </row>
    <row r="610">
      <c r="C610" s="382"/>
      <c r="D610" s="382"/>
    </row>
    <row r="611">
      <c r="C611" s="382"/>
      <c r="D611" s="382"/>
    </row>
    <row r="612">
      <c r="C612" s="382"/>
      <c r="D612" s="382"/>
    </row>
    <row r="613">
      <c r="C613" s="382"/>
      <c r="D613" s="382"/>
    </row>
    <row r="614">
      <c r="C614" s="382"/>
      <c r="D614" s="382"/>
    </row>
    <row r="615">
      <c r="C615" s="382"/>
      <c r="D615" s="382"/>
    </row>
    <row r="616">
      <c r="C616" s="382"/>
      <c r="D616" s="382"/>
    </row>
    <row r="617">
      <c r="C617" s="382"/>
      <c r="D617" s="382"/>
    </row>
    <row r="618">
      <c r="C618" s="382"/>
      <c r="D618" s="382"/>
    </row>
    <row r="619">
      <c r="C619" s="382"/>
      <c r="D619" s="382"/>
    </row>
    <row r="620">
      <c r="C620" s="382"/>
      <c r="D620" s="382"/>
    </row>
    <row r="621">
      <c r="C621" s="382"/>
      <c r="D621" s="382"/>
    </row>
    <row r="622">
      <c r="C622" s="382"/>
      <c r="D622" s="382"/>
    </row>
    <row r="623">
      <c r="C623" s="382"/>
      <c r="D623" s="382"/>
    </row>
    <row r="624">
      <c r="C624" s="382"/>
      <c r="D624" s="382"/>
    </row>
    <row r="625">
      <c r="C625" s="382"/>
      <c r="D625" s="382"/>
    </row>
    <row r="626">
      <c r="C626" s="382"/>
      <c r="D626" s="382"/>
    </row>
    <row r="627">
      <c r="C627" s="382"/>
      <c r="D627" s="382"/>
    </row>
    <row r="628">
      <c r="C628" s="382"/>
      <c r="D628" s="382"/>
    </row>
    <row r="629">
      <c r="C629" s="382"/>
      <c r="D629" s="382"/>
    </row>
    <row r="630">
      <c r="C630" s="382"/>
      <c r="D630" s="382"/>
    </row>
    <row r="631">
      <c r="C631" s="382"/>
      <c r="D631" s="382"/>
    </row>
    <row r="632">
      <c r="C632" s="382"/>
      <c r="D632" s="382"/>
    </row>
    <row r="633">
      <c r="C633" s="382"/>
      <c r="D633" s="382"/>
    </row>
    <row r="634">
      <c r="C634" s="382"/>
      <c r="D634" s="382"/>
    </row>
    <row r="635">
      <c r="C635" s="382"/>
      <c r="D635" s="382"/>
    </row>
    <row r="636">
      <c r="C636" s="382"/>
      <c r="D636" s="382"/>
    </row>
    <row r="637">
      <c r="C637" s="382"/>
      <c r="D637" s="382"/>
    </row>
    <row r="638">
      <c r="C638" s="382"/>
      <c r="D638" s="382"/>
    </row>
    <row r="639">
      <c r="C639" s="382"/>
      <c r="D639" s="382"/>
    </row>
    <row r="640">
      <c r="C640" s="382"/>
      <c r="D640" s="382"/>
    </row>
    <row r="641">
      <c r="C641" s="382"/>
      <c r="D641" s="382"/>
    </row>
    <row r="642">
      <c r="C642" s="382"/>
      <c r="D642" s="382"/>
    </row>
    <row r="643">
      <c r="C643" s="382"/>
      <c r="D643" s="382"/>
    </row>
    <row r="644">
      <c r="C644" s="382"/>
      <c r="D644" s="382"/>
    </row>
    <row r="645">
      <c r="C645" s="382"/>
      <c r="D645" s="382"/>
    </row>
    <row r="646">
      <c r="C646" s="382"/>
      <c r="D646" s="382"/>
    </row>
    <row r="647">
      <c r="C647" s="382"/>
      <c r="D647" s="382"/>
    </row>
    <row r="648">
      <c r="C648" s="382"/>
      <c r="D648" s="382"/>
    </row>
    <row r="649">
      <c r="C649" s="382"/>
      <c r="D649" s="382"/>
    </row>
    <row r="650">
      <c r="C650" s="382"/>
      <c r="D650" s="382"/>
    </row>
    <row r="651">
      <c r="C651" s="382"/>
      <c r="D651" s="382"/>
    </row>
    <row r="652">
      <c r="C652" s="382"/>
      <c r="D652" s="382"/>
    </row>
    <row r="653">
      <c r="C653" s="382"/>
      <c r="D653" s="382"/>
    </row>
    <row r="654">
      <c r="C654" s="382"/>
      <c r="D654" s="382"/>
    </row>
    <row r="655">
      <c r="C655" s="382"/>
      <c r="D655" s="382"/>
    </row>
    <row r="656">
      <c r="C656" s="382"/>
      <c r="D656" s="382"/>
    </row>
    <row r="657">
      <c r="C657" s="382"/>
      <c r="D657" s="382"/>
    </row>
    <row r="658">
      <c r="C658" s="382"/>
      <c r="D658" s="382"/>
    </row>
    <row r="659">
      <c r="C659" s="382"/>
      <c r="D659" s="382"/>
    </row>
    <row r="660">
      <c r="C660" s="382"/>
      <c r="D660" s="382"/>
    </row>
    <row r="661">
      <c r="C661" s="382"/>
      <c r="D661" s="382"/>
    </row>
    <row r="662">
      <c r="C662" s="382"/>
      <c r="D662" s="382"/>
    </row>
    <row r="663">
      <c r="C663" s="382"/>
      <c r="D663" s="382"/>
    </row>
    <row r="664">
      <c r="C664" s="382"/>
      <c r="D664" s="382"/>
    </row>
    <row r="665">
      <c r="C665" s="382"/>
      <c r="D665" s="382"/>
    </row>
    <row r="666">
      <c r="C666" s="382"/>
      <c r="D666" s="382"/>
    </row>
    <row r="667">
      <c r="C667" s="382"/>
      <c r="D667" s="382"/>
    </row>
    <row r="668">
      <c r="C668" s="382"/>
      <c r="D668" s="382"/>
    </row>
    <row r="669">
      <c r="C669" s="382"/>
      <c r="D669" s="382"/>
    </row>
    <row r="670">
      <c r="C670" s="382"/>
      <c r="D670" s="382"/>
    </row>
    <row r="671">
      <c r="C671" s="382"/>
      <c r="D671" s="382"/>
    </row>
    <row r="672">
      <c r="C672" s="382"/>
      <c r="D672" s="382"/>
    </row>
    <row r="673">
      <c r="C673" s="382"/>
      <c r="D673" s="382"/>
    </row>
    <row r="674">
      <c r="C674" s="382"/>
      <c r="D674" s="382"/>
    </row>
    <row r="675">
      <c r="C675" s="382"/>
      <c r="D675" s="382"/>
    </row>
    <row r="676">
      <c r="C676" s="382"/>
      <c r="D676" s="382"/>
    </row>
    <row r="677">
      <c r="C677" s="382"/>
      <c r="D677" s="382"/>
    </row>
    <row r="678">
      <c r="C678" s="382"/>
      <c r="D678" s="382"/>
    </row>
    <row r="679">
      <c r="C679" s="382"/>
      <c r="D679" s="382"/>
    </row>
    <row r="680">
      <c r="C680" s="382"/>
      <c r="D680" s="382"/>
    </row>
    <row r="681">
      <c r="C681" s="382"/>
      <c r="D681" s="382"/>
    </row>
    <row r="682">
      <c r="C682" s="382"/>
      <c r="D682" s="382"/>
    </row>
    <row r="683">
      <c r="C683" s="382"/>
      <c r="D683" s="382"/>
    </row>
    <row r="684">
      <c r="C684" s="382"/>
      <c r="D684" s="382"/>
    </row>
    <row r="685">
      <c r="C685" s="382"/>
      <c r="D685" s="382"/>
    </row>
    <row r="686">
      <c r="C686" s="382"/>
      <c r="D686" s="382"/>
    </row>
    <row r="687">
      <c r="C687" s="382"/>
      <c r="D687" s="382"/>
    </row>
    <row r="688">
      <c r="C688" s="382"/>
      <c r="D688" s="382"/>
    </row>
    <row r="689">
      <c r="C689" s="382"/>
      <c r="D689" s="382"/>
    </row>
    <row r="690">
      <c r="C690" s="382"/>
      <c r="D690" s="382"/>
    </row>
    <row r="691">
      <c r="C691" s="382"/>
      <c r="D691" s="382"/>
    </row>
    <row r="692">
      <c r="C692" s="382"/>
      <c r="D692" s="382"/>
    </row>
    <row r="693">
      <c r="C693" s="382"/>
      <c r="D693" s="382"/>
    </row>
    <row r="694">
      <c r="C694" s="382"/>
      <c r="D694" s="382"/>
    </row>
    <row r="695">
      <c r="C695" s="382"/>
      <c r="D695" s="382"/>
    </row>
    <row r="696">
      <c r="C696" s="382"/>
      <c r="D696" s="382"/>
    </row>
    <row r="697">
      <c r="C697" s="382"/>
      <c r="D697" s="382"/>
    </row>
    <row r="698">
      <c r="C698" s="382"/>
      <c r="D698" s="382"/>
    </row>
    <row r="699">
      <c r="C699" s="382"/>
      <c r="D699" s="382"/>
    </row>
    <row r="700">
      <c r="C700" s="382"/>
      <c r="D700" s="382"/>
    </row>
    <row r="701">
      <c r="C701" s="382"/>
      <c r="D701" s="382"/>
    </row>
    <row r="702">
      <c r="C702" s="382"/>
      <c r="D702" s="382"/>
    </row>
    <row r="703">
      <c r="C703" s="382"/>
      <c r="D703" s="382"/>
    </row>
    <row r="704">
      <c r="C704" s="382"/>
      <c r="D704" s="382"/>
    </row>
    <row r="705">
      <c r="C705" s="382"/>
      <c r="D705" s="382"/>
    </row>
    <row r="706">
      <c r="C706" s="382"/>
      <c r="D706" s="382"/>
    </row>
    <row r="707">
      <c r="C707" s="382"/>
      <c r="D707" s="382"/>
    </row>
    <row r="708">
      <c r="C708" s="382"/>
      <c r="D708" s="382"/>
    </row>
    <row r="709">
      <c r="C709" s="382"/>
      <c r="D709" s="382"/>
    </row>
    <row r="710">
      <c r="C710" s="382"/>
      <c r="D710" s="382"/>
    </row>
    <row r="711">
      <c r="C711" s="382"/>
      <c r="D711" s="382"/>
    </row>
    <row r="712">
      <c r="C712" s="382"/>
      <c r="D712" s="382"/>
    </row>
    <row r="713">
      <c r="C713" s="382"/>
      <c r="D713" s="382"/>
    </row>
    <row r="714">
      <c r="C714" s="382"/>
      <c r="D714" s="382"/>
    </row>
    <row r="715">
      <c r="C715" s="382"/>
      <c r="D715" s="382"/>
    </row>
    <row r="716">
      <c r="C716" s="382"/>
      <c r="D716" s="382"/>
    </row>
    <row r="717">
      <c r="C717" s="382"/>
      <c r="D717" s="382"/>
    </row>
    <row r="718">
      <c r="C718" s="382"/>
      <c r="D718" s="382"/>
    </row>
    <row r="719">
      <c r="C719" s="382"/>
      <c r="D719" s="382"/>
    </row>
    <row r="720">
      <c r="C720" s="382"/>
      <c r="D720" s="382"/>
    </row>
    <row r="721">
      <c r="C721" s="382"/>
      <c r="D721" s="382"/>
    </row>
    <row r="722">
      <c r="C722" s="382"/>
      <c r="D722" s="382"/>
    </row>
    <row r="723">
      <c r="C723" s="382"/>
      <c r="D723" s="382"/>
    </row>
    <row r="724">
      <c r="C724" s="382"/>
      <c r="D724" s="382"/>
    </row>
    <row r="725">
      <c r="C725" s="382"/>
      <c r="D725" s="382"/>
    </row>
    <row r="726">
      <c r="C726" s="382"/>
      <c r="D726" s="382"/>
    </row>
    <row r="727">
      <c r="C727" s="382"/>
      <c r="D727" s="382"/>
    </row>
    <row r="728">
      <c r="C728" s="382"/>
      <c r="D728" s="382"/>
    </row>
    <row r="729">
      <c r="C729" s="382"/>
      <c r="D729" s="382"/>
    </row>
    <row r="730">
      <c r="C730" s="382"/>
      <c r="D730" s="382"/>
    </row>
    <row r="731">
      <c r="C731" s="382"/>
      <c r="D731" s="382"/>
    </row>
    <row r="732">
      <c r="C732" s="382"/>
      <c r="D732" s="382"/>
    </row>
    <row r="733">
      <c r="C733" s="382"/>
      <c r="D733" s="382"/>
    </row>
    <row r="734">
      <c r="C734" s="382"/>
      <c r="D734" s="382"/>
    </row>
    <row r="735">
      <c r="C735" s="382"/>
      <c r="D735" s="382"/>
    </row>
    <row r="736">
      <c r="C736" s="382"/>
      <c r="D736" s="382"/>
    </row>
    <row r="737">
      <c r="C737" s="382"/>
      <c r="D737" s="382"/>
    </row>
    <row r="738">
      <c r="C738" s="382"/>
      <c r="D738" s="382"/>
    </row>
    <row r="739">
      <c r="C739" s="382"/>
      <c r="D739" s="382"/>
    </row>
    <row r="740">
      <c r="C740" s="382"/>
      <c r="D740" s="382"/>
    </row>
    <row r="741">
      <c r="C741" s="382"/>
      <c r="D741" s="382"/>
    </row>
    <row r="742">
      <c r="C742" s="382"/>
      <c r="D742" s="382"/>
    </row>
    <row r="743">
      <c r="C743" s="382"/>
      <c r="D743" s="382"/>
    </row>
    <row r="744">
      <c r="C744" s="382"/>
      <c r="D744" s="382"/>
    </row>
    <row r="745">
      <c r="C745" s="382"/>
      <c r="D745" s="382"/>
    </row>
    <row r="746">
      <c r="C746" s="382"/>
      <c r="D746" s="382"/>
    </row>
    <row r="747">
      <c r="C747" s="382"/>
      <c r="D747" s="382"/>
    </row>
    <row r="748">
      <c r="C748" s="382"/>
      <c r="D748" s="382"/>
    </row>
    <row r="749">
      <c r="C749" s="382"/>
      <c r="D749" s="382"/>
    </row>
    <row r="750">
      <c r="C750" s="382"/>
      <c r="D750" s="382"/>
    </row>
    <row r="751">
      <c r="C751" s="382"/>
      <c r="D751" s="382"/>
    </row>
    <row r="752">
      <c r="C752" s="382"/>
      <c r="D752" s="382"/>
    </row>
    <row r="753">
      <c r="C753" s="382"/>
      <c r="D753" s="382"/>
    </row>
    <row r="754">
      <c r="C754" s="382"/>
      <c r="D754" s="382"/>
    </row>
    <row r="755">
      <c r="C755" s="382"/>
      <c r="D755" s="382"/>
    </row>
    <row r="756">
      <c r="C756" s="382"/>
      <c r="D756" s="382"/>
    </row>
    <row r="757">
      <c r="C757" s="382"/>
      <c r="D757" s="382"/>
    </row>
    <row r="758">
      <c r="C758" s="382"/>
      <c r="D758" s="382"/>
    </row>
    <row r="759">
      <c r="C759" s="382"/>
      <c r="D759" s="382"/>
    </row>
    <row r="760">
      <c r="C760" s="382"/>
      <c r="D760" s="382"/>
    </row>
    <row r="761">
      <c r="C761" s="382"/>
      <c r="D761" s="382"/>
    </row>
    <row r="762">
      <c r="C762" s="382"/>
      <c r="D762" s="382"/>
    </row>
    <row r="763">
      <c r="C763" s="382"/>
      <c r="D763" s="382"/>
    </row>
    <row r="764">
      <c r="C764" s="382"/>
      <c r="D764" s="382"/>
    </row>
    <row r="765">
      <c r="C765" s="382"/>
      <c r="D765" s="382"/>
    </row>
    <row r="766">
      <c r="C766" s="382"/>
      <c r="D766" s="382"/>
    </row>
    <row r="767">
      <c r="C767" s="382"/>
      <c r="D767" s="382"/>
    </row>
    <row r="768">
      <c r="C768" s="382"/>
      <c r="D768" s="382"/>
    </row>
    <row r="769">
      <c r="C769" s="382"/>
      <c r="D769" s="382"/>
    </row>
    <row r="770">
      <c r="C770" s="382"/>
      <c r="D770" s="382"/>
    </row>
    <row r="771">
      <c r="C771" s="382"/>
      <c r="D771" s="382"/>
    </row>
    <row r="772">
      <c r="C772" s="382"/>
      <c r="D772" s="382"/>
    </row>
    <row r="773">
      <c r="C773" s="382"/>
      <c r="D773" s="382"/>
    </row>
    <row r="774">
      <c r="C774" s="382"/>
      <c r="D774" s="382"/>
    </row>
    <row r="775">
      <c r="C775" s="382"/>
      <c r="D775" s="382"/>
    </row>
    <row r="776">
      <c r="C776" s="382"/>
      <c r="D776" s="382"/>
    </row>
    <row r="777">
      <c r="C777" s="382"/>
      <c r="D777" s="382"/>
    </row>
    <row r="778">
      <c r="C778" s="382"/>
      <c r="D778" s="382"/>
    </row>
    <row r="779">
      <c r="C779" s="382"/>
      <c r="D779" s="382"/>
    </row>
    <row r="780">
      <c r="C780" s="382"/>
      <c r="D780" s="382"/>
    </row>
    <row r="781">
      <c r="C781" s="382"/>
      <c r="D781" s="382"/>
    </row>
    <row r="782">
      <c r="C782" s="382"/>
      <c r="D782" s="382"/>
    </row>
    <row r="783">
      <c r="C783" s="382"/>
      <c r="D783" s="382"/>
    </row>
    <row r="784">
      <c r="C784" s="382"/>
      <c r="D784" s="382"/>
    </row>
    <row r="785">
      <c r="C785" s="382"/>
      <c r="D785" s="382"/>
    </row>
    <row r="786">
      <c r="C786" s="382"/>
      <c r="D786" s="382"/>
    </row>
    <row r="787">
      <c r="C787" s="382"/>
      <c r="D787" s="382"/>
    </row>
    <row r="788">
      <c r="C788" s="382"/>
      <c r="D788" s="382"/>
    </row>
    <row r="789">
      <c r="C789" s="382"/>
      <c r="D789" s="382"/>
    </row>
    <row r="790">
      <c r="C790" s="382"/>
      <c r="D790" s="382"/>
    </row>
    <row r="791">
      <c r="C791" s="382"/>
      <c r="D791" s="382"/>
    </row>
    <row r="792">
      <c r="C792" s="382"/>
      <c r="D792" s="382"/>
    </row>
    <row r="793">
      <c r="C793" s="382"/>
      <c r="D793" s="382"/>
    </row>
    <row r="794">
      <c r="C794" s="382"/>
      <c r="D794" s="382"/>
    </row>
    <row r="795">
      <c r="C795" s="382"/>
      <c r="D795" s="382"/>
    </row>
    <row r="796">
      <c r="C796" s="382"/>
      <c r="D796" s="382"/>
    </row>
    <row r="797">
      <c r="C797" s="382"/>
      <c r="D797" s="382"/>
    </row>
    <row r="798">
      <c r="C798" s="382"/>
      <c r="D798" s="382"/>
    </row>
    <row r="799">
      <c r="C799" s="382"/>
      <c r="D799" s="382"/>
    </row>
    <row r="800">
      <c r="C800" s="382"/>
      <c r="D800" s="382"/>
    </row>
    <row r="801">
      <c r="C801" s="382"/>
      <c r="D801" s="382"/>
    </row>
    <row r="802">
      <c r="C802" s="382"/>
      <c r="D802" s="382"/>
    </row>
    <row r="803">
      <c r="C803" s="382"/>
      <c r="D803" s="382"/>
    </row>
    <row r="804">
      <c r="C804" s="382"/>
      <c r="D804" s="382"/>
    </row>
    <row r="805">
      <c r="C805" s="382"/>
      <c r="D805" s="382"/>
    </row>
    <row r="806">
      <c r="C806" s="382"/>
      <c r="D806" s="382"/>
    </row>
    <row r="807">
      <c r="C807" s="382"/>
      <c r="D807" s="382"/>
    </row>
    <row r="808">
      <c r="C808" s="382"/>
      <c r="D808" s="382"/>
    </row>
    <row r="809">
      <c r="C809" s="382"/>
      <c r="D809" s="382"/>
    </row>
    <row r="810">
      <c r="C810" s="382"/>
      <c r="D810" s="382"/>
    </row>
    <row r="811">
      <c r="C811" s="382"/>
      <c r="D811" s="382"/>
    </row>
    <row r="812">
      <c r="C812" s="382"/>
      <c r="D812" s="382"/>
    </row>
    <row r="813">
      <c r="C813" s="382"/>
      <c r="D813" s="382"/>
    </row>
    <row r="814">
      <c r="C814" s="382"/>
      <c r="D814" s="382"/>
    </row>
    <row r="815">
      <c r="C815" s="382"/>
      <c r="D815" s="382"/>
    </row>
    <row r="816">
      <c r="C816" s="382"/>
      <c r="D816" s="382"/>
    </row>
    <row r="817">
      <c r="C817" s="382"/>
      <c r="D817" s="382"/>
    </row>
    <row r="818">
      <c r="C818" s="382"/>
      <c r="D818" s="382"/>
    </row>
    <row r="819">
      <c r="C819" s="382"/>
      <c r="D819" s="382"/>
    </row>
    <row r="820">
      <c r="C820" s="382"/>
      <c r="D820" s="382"/>
    </row>
    <row r="821">
      <c r="C821" s="382"/>
      <c r="D821" s="382"/>
    </row>
    <row r="822">
      <c r="C822" s="382"/>
      <c r="D822" s="382"/>
    </row>
    <row r="823">
      <c r="C823" s="382"/>
      <c r="D823" s="382"/>
    </row>
    <row r="824">
      <c r="C824" s="382"/>
      <c r="D824" s="382"/>
    </row>
    <row r="825">
      <c r="C825" s="382"/>
      <c r="D825" s="382"/>
    </row>
    <row r="826">
      <c r="C826" s="382"/>
      <c r="D826" s="382"/>
    </row>
    <row r="827">
      <c r="C827" s="382"/>
      <c r="D827" s="382"/>
    </row>
    <row r="828">
      <c r="C828" s="382"/>
      <c r="D828" s="382"/>
    </row>
    <row r="829">
      <c r="C829" s="382"/>
      <c r="D829" s="382"/>
    </row>
    <row r="830">
      <c r="C830" s="382"/>
      <c r="D830" s="382"/>
    </row>
    <row r="831">
      <c r="C831" s="382"/>
      <c r="D831" s="382"/>
    </row>
    <row r="832">
      <c r="C832" s="382"/>
      <c r="D832" s="382"/>
    </row>
    <row r="833">
      <c r="C833" s="382"/>
      <c r="D833" s="382"/>
    </row>
    <row r="834">
      <c r="C834" s="382"/>
      <c r="D834" s="382"/>
    </row>
    <row r="835">
      <c r="C835" s="382"/>
      <c r="D835" s="382"/>
    </row>
    <row r="836">
      <c r="C836" s="382"/>
      <c r="D836" s="382"/>
    </row>
    <row r="837">
      <c r="C837" s="382"/>
      <c r="D837" s="382"/>
    </row>
    <row r="838">
      <c r="C838" s="382"/>
      <c r="D838" s="382"/>
    </row>
    <row r="839">
      <c r="C839" s="382"/>
      <c r="D839" s="382"/>
    </row>
    <row r="840">
      <c r="C840" s="382"/>
      <c r="D840" s="382"/>
    </row>
    <row r="841">
      <c r="C841" s="382"/>
      <c r="D841" s="382"/>
    </row>
    <row r="842">
      <c r="C842" s="382"/>
      <c r="D842" s="382"/>
    </row>
    <row r="843">
      <c r="C843" s="382"/>
      <c r="D843" s="382"/>
    </row>
    <row r="844">
      <c r="C844" s="382"/>
      <c r="D844" s="382"/>
    </row>
    <row r="845">
      <c r="C845" s="382"/>
      <c r="D845" s="382"/>
    </row>
    <row r="846">
      <c r="C846" s="382"/>
      <c r="D846" s="382"/>
    </row>
    <row r="847">
      <c r="C847" s="382"/>
      <c r="D847" s="382"/>
    </row>
    <row r="848">
      <c r="C848" s="382"/>
      <c r="D848" s="382"/>
    </row>
    <row r="849">
      <c r="C849" s="382"/>
      <c r="D849" s="382"/>
    </row>
    <row r="850">
      <c r="C850" s="382"/>
      <c r="D850" s="382"/>
    </row>
    <row r="851">
      <c r="C851" s="382"/>
      <c r="D851" s="382"/>
    </row>
    <row r="852">
      <c r="C852" s="382"/>
      <c r="D852" s="382"/>
    </row>
    <row r="853">
      <c r="C853" s="382"/>
      <c r="D853" s="382"/>
    </row>
    <row r="854">
      <c r="C854" s="382"/>
      <c r="D854" s="382"/>
    </row>
    <row r="855">
      <c r="C855" s="382"/>
      <c r="D855" s="382"/>
    </row>
    <row r="856">
      <c r="C856" s="382"/>
      <c r="D856" s="382"/>
    </row>
    <row r="857">
      <c r="C857" s="382"/>
      <c r="D857" s="382"/>
    </row>
    <row r="858">
      <c r="C858" s="382"/>
      <c r="D858" s="382"/>
    </row>
    <row r="859">
      <c r="C859" s="382"/>
      <c r="D859" s="382"/>
    </row>
    <row r="860">
      <c r="C860" s="382"/>
      <c r="D860" s="382"/>
    </row>
    <row r="861">
      <c r="C861" s="382"/>
      <c r="D861" s="382"/>
    </row>
    <row r="862">
      <c r="C862" s="382"/>
      <c r="D862" s="382"/>
    </row>
    <row r="863">
      <c r="C863" s="382"/>
      <c r="D863" s="382"/>
    </row>
    <row r="864">
      <c r="C864" s="382"/>
      <c r="D864" s="382"/>
    </row>
    <row r="865">
      <c r="C865" s="382"/>
      <c r="D865" s="382"/>
    </row>
    <row r="866">
      <c r="C866" s="382"/>
      <c r="D866" s="382"/>
    </row>
    <row r="867">
      <c r="C867" s="382"/>
      <c r="D867" s="382"/>
    </row>
    <row r="868">
      <c r="C868" s="382"/>
      <c r="D868" s="382"/>
    </row>
    <row r="869">
      <c r="C869" s="382"/>
      <c r="D869" s="382"/>
    </row>
    <row r="870">
      <c r="C870" s="382"/>
      <c r="D870" s="382"/>
    </row>
    <row r="871">
      <c r="C871" s="382"/>
      <c r="D871" s="382"/>
    </row>
    <row r="872">
      <c r="C872" s="382"/>
      <c r="D872" s="382"/>
    </row>
    <row r="873">
      <c r="C873" s="382"/>
      <c r="D873" s="382"/>
    </row>
    <row r="874">
      <c r="C874" s="382"/>
      <c r="D874" s="382"/>
    </row>
    <row r="875">
      <c r="C875" s="382"/>
      <c r="D875" s="382"/>
    </row>
    <row r="876">
      <c r="C876" s="382"/>
      <c r="D876" s="382"/>
    </row>
    <row r="877">
      <c r="C877" s="382"/>
      <c r="D877" s="382"/>
    </row>
    <row r="878">
      <c r="C878" s="382"/>
      <c r="D878" s="382"/>
    </row>
    <row r="879">
      <c r="C879" s="382"/>
      <c r="D879" s="382"/>
    </row>
    <row r="880">
      <c r="C880" s="382"/>
      <c r="D880" s="382"/>
    </row>
    <row r="881">
      <c r="C881" s="382"/>
      <c r="D881" s="382"/>
    </row>
    <row r="882">
      <c r="C882" s="382"/>
      <c r="D882" s="382"/>
    </row>
    <row r="883">
      <c r="C883" s="382"/>
      <c r="D883" s="382"/>
    </row>
    <row r="884">
      <c r="C884" s="382"/>
      <c r="D884" s="382"/>
    </row>
    <row r="885">
      <c r="C885" s="382"/>
      <c r="D885" s="382"/>
    </row>
    <row r="886">
      <c r="C886" s="382"/>
      <c r="D886" s="382"/>
    </row>
    <row r="887">
      <c r="C887" s="382"/>
      <c r="D887" s="382"/>
    </row>
    <row r="888">
      <c r="C888" s="382"/>
      <c r="D888" s="382"/>
    </row>
    <row r="889">
      <c r="C889" s="382"/>
      <c r="D889" s="382"/>
    </row>
    <row r="890">
      <c r="C890" s="382"/>
      <c r="D890" s="382"/>
    </row>
    <row r="891">
      <c r="C891" s="382"/>
      <c r="D891" s="382"/>
    </row>
    <row r="892">
      <c r="C892" s="382"/>
      <c r="D892" s="382"/>
    </row>
    <row r="893">
      <c r="C893" s="382"/>
      <c r="D893" s="382"/>
    </row>
    <row r="894">
      <c r="C894" s="382"/>
      <c r="D894" s="382"/>
    </row>
    <row r="895">
      <c r="C895" s="382"/>
      <c r="D895" s="382"/>
    </row>
    <row r="896">
      <c r="C896" s="382"/>
      <c r="D896" s="382"/>
    </row>
    <row r="897">
      <c r="C897" s="382"/>
      <c r="D897" s="382"/>
    </row>
    <row r="898">
      <c r="C898" s="382"/>
      <c r="D898" s="382"/>
    </row>
    <row r="899">
      <c r="C899" s="382"/>
      <c r="D899" s="382"/>
    </row>
    <row r="900">
      <c r="C900" s="382"/>
      <c r="D900" s="382"/>
    </row>
    <row r="901">
      <c r="C901" s="382"/>
      <c r="D901" s="382"/>
    </row>
    <row r="902">
      <c r="C902" s="382"/>
      <c r="D902" s="382"/>
    </row>
    <row r="903">
      <c r="C903" s="382"/>
      <c r="D903" s="382"/>
    </row>
    <row r="904">
      <c r="C904" s="382"/>
      <c r="D904" s="382"/>
    </row>
    <row r="905">
      <c r="C905" s="382"/>
      <c r="D905" s="382"/>
    </row>
    <row r="906">
      <c r="C906" s="382"/>
      <c r="D906" s="382"/>
    </row>
    <row r="907">
      <c r="C907" s="382"/>
      <c r="D907" s="382"/>
    </row>
    <row r="908">
      <c r="C908" s="382"/>
      <c r="D908" s="382"/>
    </row>
    <row r="909">
      <c r="C909" s="382"/>
      <c r="D909" s="382"/>
    </row>
    <row r="910">
      <c r="C910" s="382"/>
      <c r="D910" s="382"/>
    </row>
    <row r="911">
      <c r="C911" s="382"/>
      <c r="D911" s="382"/>
    </row>
    <row r="912">
      <c r="C912" s="382"/>
      <c r="D912" s="382"/>
    </row>
    <row r="913">
      <c r="C913" s="382"/>
      <c r="D913" s="382"/>
    </row>
    <row r="914">
      <c r="C914" s="382"/>
      <c r="D914" s="382"/>
    </row>
    <row r="915">
      <c r="C915" s="382"/>
      <c r="D915" s="382"/>
    </row>
    <row r="916">
      <c r="C916" s="382"/>
      <c r="D916" s="382"/>
    </row>
    <row r="917">
      <c r="C917" s="382"/>
      <c r="D917" s="382"/>
    </row>
    <row r="918">
      <c r="C918" s="382"/>
      <c r="D918" s="382"/>
    </row>
    <row r="919">
      <c r="C919" s="382"/>
      <c r="D919" s="382"/>
    </row>
    <row r="920">
      <c r="C920" s="382"/>
      <c r="D920" s="382"/>
    </row>
    <row r="921">
      <c r="C921" s="382"/>
      <c r="D921" s="382"/>
    </row>
    <row r="922">
      <c r="C922" s="382"/>
      <c r="D922" s="382"/>
    </row>
    <row r="923">
      <c r="C923" s="382"/>
      <c r="D923" s="382"/>
    </row>
    <row r="924">
      <c r="C924" s="382"/>
      <c r="D924" s="382"/>
    </row>
    <row r="925">
      <c r="C925" s="382"/>
      <c r="D925" s="382"/>
    </row>
    <row r="926">
      <c r="C926" s="382"/>
      <c r="D926" s="382"/>
    </row>
    <row r="927">
      <c r="C927" s="382"/>
      <c r="D927" s="382"/>
    </row>
    <row r="928">
      <c r="C928" s="382"/>
      <c r="D928" s="382"/>
    </row>
    <row r="929">
      <c r="C929" s="382"/>
      <c r="D929" s="382"/>
    </row>
    <row r="930">
      <c r="C930" s="382"/>
      <c r="D930" s="382"/>
    </row>
    <row r="931">
      <c r="C931" s="382"/>
      <c r="D931" s="382"/>
    </row>
    <row r="932">
      <c r="C932" s="382"/>
      <c r="D932" s="382"/>
    </row>
    <row r="933">
      <c r="C933" s="382"/>
      <c r="D933" s="382"/>
    </row>
    <row r="934">
      <c r="C934" s="382"/>
      <c r="D934" s="382"/>
    </row>
    <row r="935">
      <c r="C935" s="382"/>
      <c r="D935" s="382"/>
    </row>
    <row r="936">
      <c r="C936" s="382"/>
      <c r="D936" s="382"/>
    </row>
    <row r="937">
      <c r="C937" s="382"/>
      <c r="D937" s="382"/>
    </row>
    <row r="938">
      <c r="C938" s="382"/>
      <c r="D938" s="382"/>
    </row>
    <row r="939">
      <c r="C939" s="382"/>
      <c r="D939" s="382"/>
    </row>
    <row r="940">
      <c r="C940" s="382"/>
      <c r="D940" s="382"/>
    </row>
    <row r="941">
      <c r="C941" s="382"/>
      <c r="D941" s="382"/>
    </row>
    <row r="942">
      <c r="C942" s="382"/>
      <c r="D942" s="382"/>
    </row>
    <row r="943">
      <c r="C943" s="382"/>
      <c r="D943" s="382"/>
    </row>
    <row r="944">
      <c r="C944" s="382"/>
      <c r="D944" s="382"/>
    </row>
    <row r="945">
      <c r="C945" s="382"/>
      <c r="D945" s="382"/>
    </row>
    <row r="946">
      <c r="C946" s="382"/>
      <c r="D946" s="382"/>
    </row>
    <row r="947">
      <c r="C947" s="382"/>
      <c r="D947" s="382"/>
    </row>
    <row r="948">
      <c r="C948" s="382"/>
      <c r="D948" s="382"/>
    </row>
    <row r="949">
      <c r="C949" s="382"/>
      <c r="D949" s="382"/>
    </row>
    <row r="950">
      <c r="C950" s="382"/>
      <c r="D950" s="382"/>
    </row>
    <row r="951">
      <c r="C951" s="382"/>
      <c r="D951" s="382"/>
    </row>
    <row r="952">
      <c r="C952" s="382"/>
      <c r="D952" s="382"/>
    </row>
    <row r="953">
      <c r="C953" s="382"/>
      <c r="D953" s="382"/>
    </row>
    <row r="954">
      <c r="C954" s="382"/>
      <c r="D954" s="382"/>
    </row>
    <row r="955">
      <c r="C955" s="382"/>
      <c r="D955" s="382"/>
    </row>
    <row r="956">
      <c r="C956" s="382"/>
      <c r="D956" s="382"/>
    </row>
    <row r="957">
      <c r="C957" s="382"/>
      <c r="D957" s="382"/>
    </row>
    <row r="958">
      <c r="C958" s="382"/>
      <c r="D958" s="382"/>
    </row>
    <row r="959">
      <c r="C959" s="382"/>
      <c r="D959" s="382"/>
    </row>
    <row r="960">
      <c r="C960" s="382"/>
      <c r="D960" s="382"/>
    </row>
    <row r="961">
      <c r="C961" s="382"/>
      <c r="D961" s="382"/>
    </row>
    <row r="962">
      <c r="C962" s="382"/>
      <c r="D962" s="382"/>
    </row>
    <row r="963">
      <c r="C963" s="382"/>
      <c r="D963" s="382"/>
    </row>
    <row r="964">
      <c r="C964" s="382"/>
      <c r="D964" s="382"/>
    </row>
    <row r="965">
      <c r="C965" s="382"/>
      <c r="D965" s="382"/>
    </row>
    <row r="966">
      <c r="C966" s="382"/>
      <c r="D966" s="382"/>
    </row>
    <row r="967">
      <c r="C967" s="382"/>
      <c r="D967" s="382"/>
    </row>
    <row r="968">
      <c r="C968" s="382"/>
      <c r="D968" s="382"/>
    </row>
    <row r="969">
      <c r="C969" s="382"/>
      <c r="D969" s="382"/>
    </row>
    <row r="970">
      <c r="C970" s="382"/>
      <c r="D970" s="382"/>
    </row>
    <row r="971">
      <c r="C971" s="382"/>
      <c r="D971" s="382"/>
    </row>
    <row r="972">
      <c r="C972" s="382"/>
      <c r="D972" s="382"/>
    </row>
    <row r="973">
      <c r="C973" s="382"/>
      <c r="D973" s="382"/>
    </row>
    <row r="974">
      <c r="C974" s="382"/>
      <c r="D974" s="382"/>
    </row>
    <row r="975">
      <c r="C975" s="382"/>
      <c r="D975" s="382"/>
    </row>
    <row r="976">
      <c r="C976" s="382"/>
      <c r="D976" s="382"/>
    </row>
    <row r="977">
      <c r="C977" s="382"/>
      <c r="D977" s="382"/>
    </row>
    <row r="978">
      <c r="C978" s="382"/>
      <c r="D978" s="382"/>
    </row>
    <row r="979">
      <c r="C979" s="382"/>
      <c r="D979" s="382"/>
    </row>
    <row r="980">
      <c r="C980" s="382"/>
      <c r="D980" s="382"/>
    </row>
    <row r="981">
      <c r="C981" s="382"/>
      <c r="D981" s="382"/>
    </row>
    <row r="982">
      <c r="C982" s="382"/>
      <c r="D982" s="382"/>
    </row>
    <row r="983">
      <c r="C983" s="382"/>
      <c r="D983" s="382"/>
    </row>
    <row r="984">
      <c r="C984" s="382"/>
      <c r="D984" s="382"/>
    </row>
    <row r="985">
      <c r="C985" s="382"/>
      <c r="D985" s="382"/>
    </row>
    <row r="986">
      <c r="C986" s="382"/>
      <c r="D986" s="382"/>
    </row>
    <row r="987">
      <c r="C987" s="382"/>
      <c r="D987" s="382"/>
    </row>
    <row r="988">
      <c r="C988" s="382"/>
      <c r="D988" s="382"/>
    </row>
    <row r="989">
      <c r="C989" s="382"/>
      <c r="D989" s="382"/>
    </row>
    <row r="990">
      <c r="C990" s="382"/>
      <c r="D990" s="382"/>
    </row>
    <row r="991">
      <c r="C991" s="382"/>
      <c r="D991" s="382"/>
    </row>
    <row r="992">
      <c r="C992" s="382"/>
      <c r="D992" s="382"/>
    </row>
    <row r="993">
      <c r="C993" s="382"/>
      <c r="D993" s="382"/>
    </row>
    <row r="994">
      <c r="C994" s="382"/>
      <c r="D994" s="382"/>
    </row>
    <row r="995">
      <c r="C995" s="382"/>
      <c r="D995" s="382"/>
    </row>
    <row r="996">
      <c r="C996" s="382"/>
      <c r="D996" s="382"/>
    </row>
    <row r="997">
      <c r="C997" s="382"/>
      <c r="D997" s="382"/>
    </row>
    <row r="998">
      <c r="C998" s="382"/>
      <c r="D998" s="382"/>
    </row>
    <row r="999">
      <c r="C999" s="382"/>
      <c r="D999" s="382"/>
    </row>
    <row r="1000">
      <c r="C1000" s="382"/>
      <c r="D1000" s="382"/>
    </row>
    <row r="1001">
      <c r="C1001" s="382"/>
      <c r="D1001" s="382"/>
    </row>
  </sheetData>
  <mergeCells count="2">
    <mergeCell ref="A2:A8"/>
    <mergeCell ref="A9:A16"/>
  </mergeCells>
  <conditionalFormatting sqref="E1:E1001 G1:G8">
    <cfRule type="cellIs" dxfId="5" priority="1" operator="greaterThan">
      <formula>0</formula>
    </cfRule>
  </conditionalFormatting>
  <conditionalFormatting sqref="E1:E1001 G1:G8">
    <cfRule type="cellIs" dxfId="6" priority="2" operator="lessThan">
      <formula>0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24.13"/>
    <col customWidth="1" min="6" max="6" width="24.0"/>
    <col customWidth="1" min="8" max="8" width="13.25"/>
  </cols>
  <sheetData>
    <row r="1">
      <c r="A1" s="1" t="s">
        <v>638</v>
      </c>
      <c r="B1" s="1" t="s">
        <v>639</v>
      </c>
      <c r="C1" s="1" t="s">
        <v>640</v>
      </c>
      <c r="D1" s="1" t="s">
        <v>641</v>
      </c>
      <c r="E1" s="428" t="s">
        <v>642</v>
      </c>
      <c r="F1" s="1" t="s">
        <v>643</v>
      </c>
      <c r="G1" s="1" t="s">
        <v>644</v>
      </c>
      <c r="H1" s="1" t="s">
        <v>645</v>
      </c>
      <c r="I1" s="429" t="s">
        <v>138</v>
      </c>
    </row>
    <row r="2">
      <c r="A2" s="430" t="s">
        <v>646</v>
      </c>
      <c r="B2" s="430" t="s">
        <v>647</v>
      </c>
      <c r="C2" s="430" t="s">
        <v>648</v>
      </c>
      <c r="D2" s="431" t="s">
        <v>649</v>
      </c>
      <c r="E2" s="432">
        <v>45996.0</v>
      </c>
      <c r="F2" s="432"/>
      <c r="G2" s="433" t="b">
        <v>1</v>
      </c>
      <c r="H2" s="430" t="s">
        <v>650</v>
      </c>
      <c r="I2" s="434">
        <v>45912.0</v>
      </c>
    </row>
    <row r="3">
      <c r="A3" s="430" t="s">
        <v>651</v>
      </c>
      <c r="B3" s="430" t="s">
        <v>652</v>
      </c>
      <c r="C3" s="430" t="s">
        <v>653</v>
      </c>
      <c r="D3" s="430" t="s">
        <v>654</v>
      </c>
      <c r="E3" s="432">
        <v>45996.0</v>
      </c>
      <c r="F3" s="435"/>
      <c r="G3" s="433" t="b">
        <v>1</v>
      </c>
      <c r="H3" s="430" t="s">
        <v>655</v>
      </c>
      <c r="I3" s="434">
        <v>45942.0</v>
      </c>
    </row>
    <row r="4">
      <c r="A4" s="430" t="s">
        <v>656</v>
      </c>
      <c r="B4" s="430" t="s">
        <v>657</v>
      </c>
      <c r="C4" s="430" t="s">
        <v>658</v>
      </c>
      <c r="D4" s="430" t="s">
        <v>659</v>
      </c>
      <c r="E4" s="432">
        <v>45999.0</v>
      </c>
      <c r="F4" s="435"/>
      <c r="G4" s="433" t="b">
        <v>1</v>
      </c>
      <c r="H4" s="430" t="s">
        <v>650</v>
      </c>
      <c r="I4" s="434">
        <v>45912.0</v>
      </c>
    </row>
    <row r="5">
      <c r="A5" s="430" t="s">
        <v>660</v>
      </c>
      <c r="B5" s="430" t="s">
        <v>661</v>
      </c>
      <c r="C5" s="430" t="s">
        <v>658</v>
      </c>
      <c r="D5" s="430" t="s">
        <v>662</v>
      </c>
      <c r="E5" s="436">
        <v>45942.0</v>
      </c>
      <c r="F5" s="430" t="s">
        <v>663</v>
      </c>
      <c r="G5" s="433" t="b">
        <v>1</v>
      </c>
      <c r="H5" s="430" t="s">
        <v>650</v>
      </c>
      <c r="I5" s="434">
        <v>45942.0</v>
      </c>
    </row>
    <row r="6">
      <c r="A6" s="430" t="s">
        <v>664</v>
      </c>
      <c r="B6" s="430" t="s">
        <v>665</v>
      </c>
      <c r="C6" s="430" t="s">
        <v>658</v>
      </c>
      <c r="D6" s="430" t="s">
        <v>666</v>
      </c>
      <c r="E6" s="436">
        <v>46003.0</v>
      </c>
      <c r="F6" s="435"/>
      <c r="G6" s="433" t="b">
        <v>1</v>
      </c>
      <c r="H6" s="430" t="s">
        <v>650</v>
      </c>
      <c r="I6" s="434">
        <v>46003.0</v>
      </c>
    </row>
    <row r="7">
      <c r="A7" s="430" t="s">
        <v>667</v>
      </c>
      <c r="B7" s="430" t="s">
        <v>668</v>
      </c>
      <c r="C7" s="430" t="s">
        <v>669</v>
      </c>
      <c r="D7" s="430" t="s">
        <v>670</v>
      </c>
      <c r="E7" s="436">
        <v>46003.0</v>
      </c>
      <c r="F7" s="435"/>
      <c r="G7" s="433" t="b">
        <v>1</v>
      </c>
      <c r="H7" s="430" t="s">
        <v>650</v>
      </c>
      <c r="I7" s="434">
        <v>46003.0</v>
      </c>
    </row>
    <row r="8">
      <c r="A8" s="430" t="s">
        <v>671</v>
      </c>
      <c r="B8" s="430" t="s">
        <v>672</v>
      </c>
      <c r="C8" s="430" t="s">
        <v>673</v>
      </c>
      <c r="D8" s="430" t="s">
        <v>674</v>
      </c>
      <c r="E8" s="431" t="s">
        <v>675</v>
      </c>
      <c r="F8" s="435"/>
      <c r="G8" s="433" t="b">
        <v>1</v>
      </c>
      <c r="H8" s="430" t="s">
        <v>676</v>
      </c>
      <c r="I8" s="431" t="s">
        <v>675</v>
      </c>
    </row>
    <row r="9">
      <c r="A9" s="430" t="s">
        <v>677</v>
      </c>
      <c r="B9" s="430" t="s">
        <v>678</v>
      </c>
      <c r="C9" s="430" t="s">
        <v>679</v>
      </c>
      <c r="D9" s="430">
        <v>1.713839505E9</v>
      </c>
      <c r="E9" s="431" t="s">
        <v>675</v>
      </c>
      <c r="F9" s="435"/>
      <c r="G9" s="433" t="b">
        <v>1</v>
      </c>
      <c r="H9" s="430" t="s">
        <v>676</v>
      </c>
      <c r="I9" s="431" t="s">
        <v>675</v>
      </c>
    </row>
    <row r="10">
      <c r="A10" s="430" t="s">
        <v>680</v>
      </c>
      <c r="B10" s="430" t="s">
        <v>681</v>
      </c>
      <c r="C10" s="430" t="s">
        <v>658</v>
      </c>
      <c r="D10" s="430">
        <f>18189615769
</f>
        <v>18189615769</v>
      </c>
      <c r="E10" s="431" t="s">
        <v>682</v>
      </c>
      <c r="F10" s="435"/>
      <c r="G10" s="433" t="b">
        <v>1</v>
      </c>
      <c r="H10" s="430" t="s">
        <v>650</v>
      </c>
      <c r="I10" s="431" t="s">
        <v>682</v>
      </c>
    </row>
    <row r="11">
      <c r="A11" s="430" t="s">
        <v>683</v>
      </c>
      <c r="B11" s="430" t="s">
        <v>684</v>
      </c>
      <c r="C11" s="430" t="s">
        <v>685</v>
      </c>
      <c r="D11" s="430">
        <v>7.574701175E9</v>
      </c>
      <c r="E11" s="431" t="s">
        <v>682</v>
      </c>
      <c r="F11" s="435"/>
      <c r="G11" s="433" t="b">
        <v>1</v>
      </c>
      <c r="H11" s="430" t="s">
        <v>650</v>
      </c>
      <c r="I11" s="431" t="s">
        <v>682</v>
      </c>
    </row>
    <row r="12">
      <c r="A12" s="430"/>
      <c r="B12" s="430"/>
      <c r="C12" s="430"/>
      <c r="D12" s="430"/>
      <c r="E12" s="431"/>
      <c r="F12" s="435"/>
      <c r="G12" s="433" t="b">
        <v>0</v>
      </c>
      <c r="H12" s="430"/>
      <c r="I12" s="431"/>
    </row>
    <row r="13">
      <c r="A13" s="430"/>
      <c r="B13" s="430"/>
      <c r="C13" s="430"/>
      <c r="D13" s="430"/>
      <c r="E13" s="431"/>
      <c r="F13" s="435"/>
      <c r="G13" s="433" t="b">
        <v>0</v>
      </c>
      <c r="H13" s="430"/>
      <c r="I13" s="431"/>
    </row>
    <row r="14">
      <c r="A14" s="430"/>
      <c r="B14" s="430"/>
      <c r="C14" s="430"/>
      <c r="D14" s="430"/>
      <c r="E14" s="431"/>
      <c r="F14" s="435"/>
      <c r="G14" s="433" t="b">
        <v>0</v>
      </c>
      <c r="H14" s="430"/>
      <c r="I14" s="431"/>
    </row>
    <row r="15">
      <c r="A15" s="430"/>
      <c r="B15" s="430"/>
      <c r="C15" s="430"/>
      <c r="D15" s="430"/>
      <c r="E15" s="431"/>
      <c r="F15" s="435"/>
      <c r="G15" s="433" t="b">
        <v>0</v>
      </c>
      <c r="H15" s="430"/>
      <c r="I15" s="431"/>
    </row>
    <row r="16">
      <c r="A16" s="430"/>
      <c r="B16" s="430"/>
      <c r="C16" s="430"/>
      <c r="D16" s="430"/>
      <c r="E16" s="431"/>
      <c r="F16" s="435"/>
      <c r="G16" s="433" t="b">
        <v>0</v>
      </c>
      <c r="H16" s="430"/>
      <c r="I16" s="431"/>
    </row>
    <row r="17">
      <c r="A17" s="430"/>
      <c r="B17" s="430"/>
      <c r="C17" s="430"/>
      <c r="D17" s="430"/>
      <c r="E17" s="431"/>
      <c r="F17" s="435"/>
      <c r="G17" s="433" t="b">
        <v>0</v>
      </c>
      <c r="H17" s="430"/>
      <c r="I17" s="431"/>
    </row>
    <row r="18">
      <c r="A18" s="430"/>
      <c r="B18" s="430"/>
      <c r="C18" s="430"/>
      <c r="D18" s="430"/>
      <c r="E18" s="431"/>
      <c r="F18" s="435"/>
      <c r="G18" s="433" t="b">
        <v>0</v>
      </c>
      <c r="H18" s="430"/>
      <c r="I18" s="431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75"/>
    <col customWidth="1" min="2" max="2" width="31.13"/>
    <col customWidth="1" min="4" max="4" width="15.38"/>
    <col customWidth="1" min="6" max="6" width="31.25"/>
    <col customWidth="1" min="7" max="8" width="13.25"/>
  </cols>
  <sheetData>
    <row r="1">
      <c r="A1" s="1" t="s">
        <v>638</v>
      </c>
      <c r="B1" s="1" t="s">
        <v>639</v>
      </c>
      <c r="C1" s="1" t="s">
        <v>640</v>
      </c>
      <c r="D1" s="1" t="s">
        <v>641</v>
      </c>
      <c r="E1" s="428" t="s">
        <v>642</v>
      </c>
      <c r="F1" s="1" t="s">
        <v>643</v>
      </c>
      <c r="G1" s="1" t="s">
        <v>644</v>
      </c>
      <c r="H1" s="428" t="s">
        <v>686</v>
      </c>
      <c r="I1" s="437" t="s">
        <v>687</v>
      </c>
      <c r="J1" s="438"/>
      <c r="K1" s="439"/>
    </row>
    <row r="2">
      <c r="A2" s="430" t="s">
        <v>688</v>
      </c>
      <c r="B2" s="430" t="s">
        <v>689</v>
      </c>
      <c r="C2" s="430" t="s">
        <v>653</v>
      </c>
      <c r="D2" s="431" t="s">
        <v>690</v>
      </c>
      <c r="E2" s="432">
        <v>45940.0</v>
      </c>
      <c r="F2" s="440"/>
      <c r="G2" s="441" t="b">
        <v>1</v>
      </c>
      <c r="H2" s="430" t="s">
        <v>650</v>
      </c>
      <c r="I2" s="431" t="s">
        <v>691</v>
      </c>
    </row>
    <row r="3">
      <c r="A3" s="430" t="s">
        <v>692</v>
      </c>
      <c r="B3" s="430" t="s">
        <v>693</v>
      </c>
      <c r="C3" s="430" t="s">
        <v>669</v>
      </c>
      <c r="D3" s="431">
        <f>12017248484</f>
        <v>12017248484</v>
      </c>
      <c r="E3" s="432">
        <v>45941.0</v>
      </c>
      <c r="F3" s="440"/>
      <c r="G3" s="441" t="b">
        <v>1</v>
      </c>
      <c r="H3" s="430" t="s">
        <v>650</v>
      </c>
      <c r="I3" s="431" t="s">
        <v>691</v>
      </c>
    </row>
    <row r="4">
      <c r="A4" s="430" t="s">
        <v>694</v>
      </c>
      <c r="B4" s="430" t="s">
        <v>695</v>
      </c>
      <c r="C4" s="430" t="s">
        <v>696</v>
      </c>
      <c r="D4" s="431" t="s">
        <v>697</v>
      </c>
      <c r="E4" s="432">
        <v>45941.0</v>
      </c>
      <c r="F4" s="440"/>
      <c r="G4" s="441" t="b">
        <v>1</v>
      </c>
      <c r="H4" s="430" t="s">
        <v>650</v>
      </c>
      <c r="I4" s="431" t="s">
        <v>691</v>
      </c>
    </row>
    <row r="5">
      <c r="A5" s="430" t="s">
        <v>698</v>
      </c>
      <c r="B5" s="430" t="s">
        <v>699</v>
      </c>
      <c r="C5" s="430" t="s">
        <v>679</v>
      </c>
      <c r="D5" s="431" t="s">
        <v>700</v>
      </c>
      <c r="E5" s="432">
        <v>45941.0</v>
      </c>
      <c r="F5" s="440"/>
      <c r="G5" s="441" t="b">
        <v>1</v>
      </c>
      <c r="H5" s="430" t="s">
        <v>676</v>
      </c>
      <c r="I5" s="431" t="s">
        <v>691</v>
      </c>
    </row>
    <row r="6">
      <c r="A6" s="442" t="s">
        <v>701</v>
      </c>
      <c r="B6" s="430" t="s">
        <v>702</v>
      </c>
      <c r="C6" s="430" t="s">
        <v>703</v>
      </c>
      <c r="D6" s="431" t="s">
        <v>704</v>
      </c>
      <c r="E6" s="432">
        <v>45941.0</v>
      </c>
      <c r="F6" s="440"/>
      <c r="G6" s="441" t="b">
        <v>1</v>
      </c>
      <c r="H6" s="430" t="s">
        <v>705</v>
      </c>
      <c r="I6" s="431" t="s">
        <v>691</v>
      </c>
    </row>
    <row r="7">
      <c r="A7" s="430" t="s">
        <v>706</v>
      </c>
      <c r="B7" s="443" t="s">
        <v>707</v>
      </c>
      <c r="C7" s="430" t="s">
        <v>658</v>
      </c>
      <c r="D7" s="431" t="s">
        <v>708</v>
      </c>
      <c r="E7" s="432">
        <v>45941.0</v>
      </c>
      <c r="F7" s="440"/>
      <c r="G7" s="441" t="b">
        <v>1</v>
      </c>
      <c r="H7" s="430" t="s">
        <v>650</v>
      </c>
      <c r="I7" s="431" t="s">
        <v>691</v>
      </c>
    </row>
    <row r="8">
      <c r="A8" s="430" t="s">
        <v>709</v>
      </c>
      <c r="B8" s="443" t="s">
        <v>710</v>
      </c>
      <c r="C8" s="430" t="s">
        <v>711</v>
      </c>
      <c r="D8" s="431">
        <f>12032975927</f>
        <v>12032975927</v>
      </c>
      <c r="E8" s="432">
        <v>45941.0</v>
      </c>
      <c r="F8" s="440"/>
      <c r="G8" s="441" t="b">
        <v>1</v>
      </c>
      <c r="H8" s="430" t="s">
        <v>650</v>
      </c>
      <c r="I8" s="431" t="s">
        <v>691</v>
      </c>
    </row>
    <row r="9">
      <c r="A9" s="430" t="s">
        <v>712</v>
      </c>
      <c r="B9" s="430" t="s">
        <v>713</v>
      </c>
      <c r="C9" s="430" t="s">
        <v>714</v>
      </c>
      <c r="D9" s="431" t="s">
        <v>715</v>
      </c>
      <c r="E9" s="432">
        <v>45941.0</v>
      </c>
      <c r="F9" s="440"/>
      <c r="G9" s="441" t="b">
        <v>1</v>
      </c>
      <c r="H9" s="430" t="s">
        <v>650</v>
      </c>
      <c r="I9" s="431" t="s">
        <v>691</v>
      </c>
    </row>
    <row r="10">
      <c r="A10" s="430" t="s">
        <v>716</v>
      </c>
      <c r="B10" s="430" t="s">
        <v>717</v>
      </c>
      <c r="C10" s="430" t="s">
        <v>718</v>
      </c>
      <c r="D10" s="431" t="s">
        <v>719</v>
      </c>
      <c r="E10" s="432">
        <v>45942.0</v>
      </c>
      <c r="F10" s="440"/>
      <c r="G10" s="441" t="b">
        <v>1</v>
      </c>
      <c r="H10" s="430" t="s">
        <v>650</v>
      </c>
      <c r="I10" s="431" t="s">
        <v>691</v>
      </c>
    </row>
    <row r="11">
      <c r="A11" s="430" t="s">
        <v>720</v>
      </c>
      <c r="B11" s="430" t="s">
        <v>721</v>
      </c>
      <c r="C11" s="430" t="s">
        <v>722</v>
      </c>
      <c r="D11" s="431">
        <f>18133138334</f>
        <v>18133138334</v>
      </c>
      <c r="E11" s="432">
        <v>45942.0</v>
      </c>
      <c r="F11" s="440"/>
      <c r="G11" s="441" t="b">
        <v>1</v>
      </c>
      <c r="H11" s="430" t="s">
        <v>650</v>
      </c>
      <c r="I11" s="431" t="s">
        <v>691</v>
      </c>
    </row>
    <row r="12">
      <c r="A12" s="430" t="s">
        <v>723</v>
      </c>
      <c r="B12" s="430" t="s">
        <v>724</v>
      </c>
      <c r="C12" s="430" t="s">
        <v>725</v>
      </c>
      <c r="D12" s="431">
        <f>17345781237</f>
        <v>17345781237</v>
      </c>
      <c r="E12" s="432">
        <v>45942.0</v>
      </c>
      <c r="F12" s="440"/>
      <c r="G12" s="441" t="b">
        <v>1</v>
      </c>
      <c r="H12" s="430" t="s">
        <v>650</v>
      </c>
      <c r="I12" s="431" t="s">
        <v>691</v>
      </c>
    </row>
    <row r="13">
      <c r="A13" s="430" t="s">
        <v>726</v>
      </c>
      <c r="B13" s="430" t="s">
        <v>727</v>
      </c>
      <c r="C13" s="430" t="s">
        <v>728</v>
      </c>
      <c r="D13" s="431" t="s">
        <v>729</v>
      </c>
      <c r="E13" s="432">
        <v>45942.0</v>
      </c>
      <c r="F13" s="440"/>
      <c r="G13" s="441" t="b">
        <v>1</v>
      </c>
      <c r="H13" s="430" t="s">
        <v>650</v>
      </c>
      <c r="I13" s="431" t="s">
        <v>691</v>
      </c>
    </row>
    <row r="14">
      <c r="A14" s="430" t="s">
        <v>730</v>
      </c>
      <c r="B14" s="430" t="s">
        <v>731</v>
      </c>
      <c r="C14" s="430" t="s">
        <v>732</v>
      </c>
      <c r="D14" s="431" t="s">
        <v>733</v>
      </c>
      <c r="E14" s="432">
        <v>45942.0</v>
      </c>
      <c r="F14" s="440"/>
      <c r="G14" s="441" t="b">
        <v>1</v>
      </c>
      <c r="H14" s="430" t="s">
        <v>676</v>
      </c>
      <c r="I14" s="431" t="s">
        <v>691</v>
      </c>
    </row>
    <row r="15">
      <c r="A15" s="430" t="s">
        <v>734</v>
      </c>
      <c r="B15" s="430" t="s">
        <v>735</v>
      </c>
      <c r="C15" s="430" t="s">
        <v>711</v>
      </c>
      <c r="D15" s="431" t="s">
        <v>736</v>
      </c>
      <c r="E15" s="432">
        <v>45942.0</v>
      </c>
      <c r="F15" s="440"/>
      <c r="G15" s="441" t="b">
        <v>1</v>
      </c>
      <c r="H15" s="430" t="s">
        <v>650</v>
      </c>
      <c r="I15" s="431" t="s">
        <v>691</v>
      </c>
    </row>
    <row r="16">
      <c r="A16" s="430" t="s">
        <v>737</v>
      </c>
      <c r="B16" s="430" t="s">
        <v>738</v>
      </c>
      <c r="C16" s="430" t="s">
        <v>679</v>
      </c>
      <c r="D16" s="431">
        <f>50498021386</f>
        <v>50498021386</v>
      </c>
      <c r="E16" s="432">
        <v>45942.0</v>
      </c>
      <c r="F16" s="440"/>
      <c r="G16" s="441" t="b">
        <v>1</v>
      </c>
      <c r="H16" s="430" t="s">
        <v>676</v>
      </c>
      <c r="I16" s="431" t="s">
        <v>691</v>
      </c>
    </row>
    <row r="17">
      <c r="A17" s="430" t="s">
        <v>739</v>
      </c>
      <c r="B17" s="430" t="s">
        <v>740</v>
      </c>
      <c r="C17" s="430" t="s">
        <v>703</v>
      </c>
      <c r="D17" s="431">
        <f>17729853386</f>
        <v>17729853386</v>
      </c>
      <c r="E17" s="432">
        <v>45942.0</v>
      </c>
      <c r="F17" s="440"/>
      <c r="G17" s="441" t="b">
        <v>1</v>
      </c>
      <c r="H17" s="430" t="s">
        <v>705</v>
      </c>
      <c r="I17" s="431" t="s">
        <v>691</v>
      </c>
    </row>
    <row r="18">
      <c r="A18" s="430" t="s">
        <v>741</v>
      </c>
      <c r="B18" s="430" t="s">
        <v>742</v>
      </c>
      <c r="C18" s="430" t="s">
        <v>743</v>
      </c>
      <c r="D18" s="431">
        <f>16303469499</f>
        <v>16303469499</v>
      </c>
      <c r="E18" s="432">
        <v>45942.0</v>
      </c>
      <c r="F18" s="440"/>
      <c r="G18" s="441" t="b">
        <v>1</v>
      </c>
      <c r="H18" s="430" t="s">
        <v>650</v>
      </c>
      <c r="I18" s="431" t="s">
        <v>691</v>
      </c>
    </row>
    <row r="19">
      <c r="A19" s="430" t="s">
        <v>744</v>
      </c>
      <c r="B19" s="430" t="s">
        <v>745</v>
      </c>
      <c r="C19" s="430" t="s">
        <v>746</v>
      </c>
      <c r="D19" s="431">
        <f>12038204268</f>
        <v>12038204268</v>
      </c>
      <c r="E19" s="431" t="s">
        <v>747</v>
      </c>
      <c r="F19" s="444"/>
      <c r="G19" s="441" t="b">
        <v>1</v>
      </c>
      <c r="H19" s="430" t="s">
        <v>650</v>
      </c>
      <c r="I19" s="431" t="s">
        <v>748</v>
      </c>
    </row>
    <row r="20">
      <c r="A20" s="430" t="s">
        <v>749</v>
      </c>
      <c r="B20" s="430" t="s">
        <v>750</v>
      </c>
      <c r="C20" s="430" t="s">
        <v>746</v>
      </c>
      <c r="D20" s="431" t="s">
        <v>751</v>
      </c>
      <c r="E20" s="431" t="s">
        <v>747</v>
      </c>
      <c r="F20" s="444"/>
      <c r="G20" s="441" t="b">
        <v>1</v>
      </c>
      <c r="H20" s="430" t="s">
        <v>650</v>
      </c>
      <c r="I20" s="431" t="s">
        <v>748</v>
      </c>
    </row>
    <row r="21">
      <c r="A21" s="430" t="s">
        <v>752</v>
      </c>
      <c r="B21" s="430" t="s">
        <v>753</v>
      </c>
      <c r="C21" s="430" t="s">
        <v>703</v>
      </c>
      <c r="D21" s="431" t="s">
        <v>754</v>
      </c>
      <c r="E21" s="431" t="s">
        <v>747</v>
      </c>
      <c r="F21" s="444"/>
      <c r="G21" s="441" t="b">
        <v>1</v>
      </c>
      <c r="H21" s="430" t="s">
        <v>705</v>
      </c>
      <c r="I21" s="431" t="s">
        <v>691</v>
      </c>
    </row>
    <row r="22">
      <c r="A22" s="430" t="s">
        <v>755</v>
      </c>
      <c r="B22" s="430" t="s">
        <v>756</v>
      </c>
      <c r="C22" s="430" t="s">
        <v>658</v>
      </c>
      <c r="D22" s="431" t="s">
        <v>757</v>
      </c>
      <c r="E22" s="431" t="s">
        <v>758</v>
      </c>
      <c r="F22" s="444"/>
      <c r="G22" s="441" t="b">
        <v>1</v>
      </c>
      <c r="H22" s="430" t="s">
        <v>650</v>
      </c>
      <c r="I22" s="431" t="s">
        <v>748</v>
      </c>
    </row>
    <row r="23">
      <c r="A23" s="430" t="s">
        <v>759</v>
      </c>
      <c r="B23" s="430" t="s">
        <v>760</v>
      </c>
      <c r="C23" s="430" t="s">
        <v>761</v>
      </c>
      <c r="D23" s="445">
        <f>17814170024
</f>
        <v>17814170024</v>
      </c>
      <c r="E23" s="431" t="s">
        <v>762</v>
      </c>
      <c r="F23" s="444"/>
      <c r="G23" s="441" t="b">
        <v>1</v>
      </c>
      <c r="H23" s="430" t="s">
        <v>650</v>
      </c>
      <c r="I23" s="431" t="s">
        <v>691</v>
      </c>
    </row>
    <row r="24">
      <c r="A24" s="430" t="s">
        <v>763</v>
      </c>
      <c r="B24" s="430" t="s">
        <v>764</v>
      </c>
      <c r="C24" s="430" t="s">
        <v>722</v>
      </c>
      <c r="D24" s="431" t="s">
        <v>765</v>
      </c>
      <c r="E24" s="431" t="s">
        <v>762</v>
      </c>
      <c r="F24" s="444"/>
      <c r="G24" s="441" t="b">
        <v>1</v>
      </c>
      <c r="H24" s="430" t="s">
        <v>650</v>
      </c>
      <c r="I24" s="431" t="s">
        <v>691</v>
      </c>
    </row>
    <row r="25">
      <c r="A25" s="430" t="s">
        <v>766</v>
      </c>
      <c r="B25" s="430" t="s">
        <v>767</v>
      </c>
      <c r="C25" s="430" t="s">
        <v>658</v>
      </c>
      <c r="D25" s="431">
        <f>18186261260</f>
        <v>18186261260</v>
      </c>
      <c r="E25" s="431" t="s">
        <v>762</v>
      </c>
      <c r="F25" s="444"/>
      <c r="G25" s="441" t="b">
        <v>1</v>
      </c>
      <c r="H25" s="430" t="s">
        <v>650</v>
      </c>
      <c r="I25" s="431" t="s">
        <v>748</v>
      </c>
    </row>
    <row r="26">
      <c r="A26" s="430" t="s">
        <v>768</v>
      </c>
      <c r="B26" s="430" t="s">
        <v>769</v>
      </c>
      <c r="C26" s="430" t="s">
        <v>770</v>
      </c>
      <c r="D26" s="431">
        <f>13046945293</f>
        <v>13046945293</v>
      </c>
      <c r="E26" s="431" t="s">
        <v>762</v>
      </c>
      <c r="F26" s="444"/>
      <c r="G26" s="441" t="b">
        <v>1</v>
      </c>
      <c r="H26" s="430" t="s">
        <v>650</v>
      </c>
      <c r="I26" s="431" t="s">
        <v>691</v>
      </c>
    </row>
    <row r="27">
      <c r="A27" s="430" t="s">
        <v>771</v>
      </c>
      <c r="B27" s="430" t="s">
        <v>772</v>
      </c>
      <c r="C27" s="430" t="s">
        <v>746</v>
      </c>
      <c r="D27" s="431">
        <v>1.5164015585E10</v>
      </c>
      <c r="E27" s="431" t="s">
        <v>762</v>
      </c>
      <c r="F27" s="444"/>
      <c r="G27" s="441" t="b">
        <v>1</v>
      </c>
      <c r="H27" s="430" t="s">
        <v>650</v>
      </c>
      <c r="I27" s="431" t="s">
        <v>748</v>
      </c>
    </row>
    <row r="28">
      <c r="A28" s="430" t="s">
        <v>773</v>
      </c>
      <c r="B28" s="430" t="s">
        <v>774</v>
      </c>
      <c r="C28" s="430" t="s">
        <v>746</v>
      </c>
      <c r="D28" s="431" t="s">
        <v>775</v>
      </c>
      <c r="E28" s="431" t="s">
        <v>762</v>
      </c>
      <c r="F28" s="444"/>
      <c r="G28" s="441" t="b">
        <v>1</v>
      </c>
      <c r="H28" s="430" t="s">
        <v>650</v>
      </c>
      <c r="I28" s="431" t="s">
        <v>748</v>
      </c>
    </row>
    <row r="29">
      <c r="A29" s="430" t="s">
        <v>776</v>
      </c>
      <c r="B29" s="430" t="s">
        <v>777</v>
      </c>
      <c r="C29" s="430" t="s">
        <v>778</v>
      </c>
      <c r="D29" s="431">
        <f>18083718613</f>
        <v>18083718613</v>
      </c>
      <c r="E29" s="431" t="s">
        <v>762</v>
      </c>
      <c r="F29" s="444"/>
      <c r="G29" s="441" t="b">
        <v>1</v>
      </c>
      <c r="H29" s="430" t="s">
        <v>650</v>
      </c>
      <c r="I29" s="431" t="s">
        <v>691</v>
      </c>
    </row>
    <row r="30">
      <c r="A30" s="430" t="s">
        <v>779</v>
      </c>
      <c r="B30" s="430" t="s">
        <v>780</v>
      </c>
      <c r="C30" s="430" t="s">
        <v>653</v>
      </c>
      <c r="D30" s="431" t="s">
        <v>781</v>
      </c>
      <c r="E30" s="431" t="s">
        <v>762</v>
      </c>
      <c r="F30" s="444"/>
      <c r="G30" s="441" t="b">
        <v>1</v>
      </c>
      <c r="H30" s="430" t="s">
        <v>650</v>
      </c>
      <c r="I30" s="431" t="s">
        <v>691</v>
      </c>
    </row>
    <row r="31">
      <c r="A31" s="430" t="s">
        <v>782</v>
      </c>
      <c r="B31" s="430" t="s">
        <v>783</v>
      </c>
      <c r="C31" s="430" t="s">
        <v>725</v>
      </c>
      <c r="D31" s="431">
        <f>12692079596</f>
        <v>12692079596</v>
      </c>
      <c r="E31" s="431" t="s">
        <v>762</v>
      </c>
      <c r="F31" s="444"/>
      <c r="G31" s="441" t="b">
        <v>1</v>
      </c>
      <c r="H31" s="430" t="s">
        <v>650</v>
      </c>
      <c r="I31" s="431" t="s">
        <v>691</v>
      </c>
    </row>
    <row r="32">
      <c r="A32" s="430" t="s">
        <v>784</v>
      </c>
      <c r="B32" s="430" t="s">
        <v>785</v>
      </c>
      <c r="C32" s="430" t="s">
        <v>703</v>
      </c>
      <c r="D32" s="431">
        <v>4.078606284E9</v>
      </c>
      <c r="E32" s="431" t="s">
        <v>762</v>
      </c>
      <c r="F32" s="444"/>
      <c r="G32" s="441" t="b">
        <v>1</v>
      </c>
      <c r="H32" s="430" t="s">
        <v>705</v>
      </c>
      <c r="I32" s="431" t="s">
        <v>691</v>
      </c>
    </row>
    <row r="33">
      <c r="A33" s="430" t="s">
        <v>786</v>
      </c>
      <c r="B33" s="430" t="s">
        <v>787</v>
      </c>
      <c r="C33" s="430" t="s">
        <v>788</v>
      </c>
      <c r="D33" s="431">
        <f>19703809669</f>
        <v>19703809669</v>
      </c>
      <c r="E33" s="431" t="s">
        <v>762</v>
      </c>
      <c r="F33" s="444"/>
      <c r="G33" s="441" t="b">
        <v>1</v>
      </c>
      <c r="H33" s="430" t="s">
        <v>650</v>
      </c>
      <c r="I33" s="431" t="s">
        <v>748</v>
      </c>
    </row>
    <row r="34">
      <c r="A34" s="430" t="s">
        <v>664</v>
      </c>
      <c r="B34" s="430" t="s">
        <v>789</v>
      </c>
      <c r="C34" s="430" t="s">
        <v>658</v>
      </c>
      <c r="D34" s="431" t="s">
        <v>666</v>
      </c>
      <c r="E34" s="431" t="s">
        <v>762</v>
      </c>
      <c r="F34" s="444"/>
      <c r="G34" s="441" t="b">
        <v>1</v>
      </c>
      <c r="H34" s="430" t="s">
        <v>650</v>
      </c>
      <c r="I34" s="431" t="s">
        <v>748</v>
      </c>
    </row>
    <row r="35">
      <c r="A35" s="430" t="s">
        <v>790</v>
      </c>
      <c r="B35" s="430" t="s">
        <v>791</v>
      </c>
      <c r="C35" s="430" t="s">
        <v>653</v>
      </c>
      <c r="D35" s="431">
        <f>12674758786</f>
        <v>12674758786</v>
      </c>
      <c r="E35" s="431" t="s">
        <v>762</v>
      </c>
      <c r="F35" s="444"/>
      <c r="G35" s="441" t="b">
        <v>1</v>
      </c>
      <c r="H35" s="430" t="s">
        <v>650</v>
      </c>
      <c r="I35" s="431" t="s">
        <v>748</v>
      </c>
    </row>
    <row r="36">
      <c r="A36" s="430" t="s">
        <v>792</v>
      </c>
      <c r="B36" s="430" t="s">
        <v>793</v>
      </c>
      <c r="C36" s="430" t="s">
        <v>794</v>
      </c>
      <c r="D36" s="431">
        <f>15169093683</f>
        <v>15169093683</v>
      </c>
      <c r="E36" s="431" t="s">
        <v>762</v>
      </c>
      <c r="F36" s="444"/>
      <c r="G36" s="441" t="b">
        <v>1</v>
      </c>
      <c r="H36" s="430" t="s">
        <v>650</v>
      </c>
      <c r="I36" s="431" t="s">
        <v>691</v>
      </c>
    </row>
    <row r="37">
      <c r="A37" s="430" t="s">
        <v>795</v>
      </c>
      <c r="B37" s="430" t="s">
        <v>796</v>
      </c>
      <c r="C37" s="430" t="s">
        <v>703</v>
      </c>
      <c r="D37" s="431" t="s">
        <v>797</v>
      </c>
      <c r="E37" s="431" t="s">
        <v>762</v>
      </c>
      <c r="F37" s="444"/>
      <c r="G37" s="441" t="b">
        <v>1</v>
      </c>
      <c r="H37" s="430" t="s">
        <v>705</v>
      </c>
      <c r="I37" s="431" t="s">
        <v>691</v>
      </c>
    </row>
    <row r="38">
      <c r="A38" s="430" t="s">
        <v>798</v>
      </c>
      <c r="B38" s="430" t="s">
        <v>799</v>
      </c>
      <c r="C38" s="430" t="s">
        <v>743</v>
      </c>
      <c r="D38" s="431" t="s">
        <v>800</v>
      </c>
      <c r="E38" s="431" t="s">
        <v>762</v>
      </c>
      <c r="F38" s="444"/>
      <c r="G38" s="441" t="b">
        <v>1</v>
      </c>
      <c r="H38" s="430" t="s">
        <v>650</v>
      </c>
      <c r="I38" s="431" t="s">
        <v>691</v>
      </c>
    </row>
    <row r="39">
      <c r="A39" s="430" t="s">
        <v>801</v>
      </c>
      <c r="B39" s="430" t="s">
        <v>802</v>
      </c>
      <c r="C39" s="430" t="s">
        <v>679</v>
      </c>
      <c r="D39" s="431" t="s">
        <v>803</v>
      </c>
      <c r="E39" s="431" t="s">
        <v>748</v>
      </c>
      <c r="F39" s="444"/>
      <c r="G39" s="441" t="b">
        <v>1</v>
      </c>
      <c r="H39" s="430" t="s">
        <v>676</v>
      </c>
      <c r="I39" s="431" t="s">
        <v>804</v>
      </c>
    </row>
    <row r="40">
      <c r="A40" s="430" t="s">
        <v>805</v>
      </c>
      <c r="B40" s="430" t="s">
        <v>806</v>
      </c>
      <c r="C40" s="430" t="s">
        <v>807</v>
      </c>
      <c r="D40" s="431" t="s">
        <v>808</v>
      </c>
      <c r="E40" s="431" t="s">
        <v>748</v>
      </c>
      <c r="F40" s="444"/>
      <c r="G40" s="441" t="b">
        <v>1</v>
      </c>
      <c r="H40" s="430" t="s">
        <v>650</v>
      </c>
      <c r="I40" s="431" t="s">
        <v>804</v>
      </c>
    </row>
    <row r="41">
      <c r="A41" s="430" t="s">
        <v>809</v>
      </c>
      <c r="B41" s="430" t="s">
        <v>810</v>
      </c>
      <c r="C41" s="430" t="s">
        <v>669</v>
      </c>
      <c r="D41" s="431" t="s">
        <v>811</v>
      </c>
      <c r="E41" s="431" t="s">
        <v>812</v>
      </c>
      <c r="F41" s="444"/>
      <c r="G41" s="441" t="b">
        <v>1</v>
      </c>
      <c r="H41" s="430" t="s">
        <v>650</v>
      </c>
      <c r="I41" s="431" t="s">
        <v>804</v>
      </c>
    </row>
    <row r="42">
      <c r="A42" s="430" t="s">
        <v>813</v>
      </c>
      <c r="B42" s="430" t="s">
        <v>814</v>
      </c>
      <c r="C42" s="430" t="s">
        <v>815</v>
      </c>
      <c r="D42" s="431" t="s">
        <v>816</v>
      </c>
      <c r="E42" s="431" t="s">
        <v>812</v>
      </c>
      <c r="F42" s="444"/>
      <c r="G42" s="441" t="b">
        <v>1</v>
      </c>
      <c r="H42" s="430" t="s">
        <v>650</v>
      </c>
      <c r="I42" s="431" t="s">
        <v>804</v>
      </c>
    </row>
    <row r="43">
      <c r="A43" s="430" t="s">
        <v>817</v>
      </c>
      <c r="B43" s="430" t="s">
        <v>818</v>
      </c>
      <c r="C43" s="430" t="s">
        <v>725</v>
      </c>
      <c r="D43" s="431" t="s">
        <v>819</v>
      </c>
      <c r="E43" s="431" t="s">
        <v>804</v>
      </c>
      <c r="F43" s="444"/>
      <c r="G43" s="441" t="b">
        <v>1</v>
      </c>
      <c r="H43" s="430" t="s">
        <v>650</v>
      </c>
      <c r="I43" s="431" t="s">
        <v>804</v>
      </c>
    </row>
    <row r="44" ht="15.0" customHeight="1">
      <c r="A44" s="430" t="s">
        <v>820</v>
      </c>
      <c r="B44" s="430" t="s">
        <v>821</v>
      </c>
      <c r="C44" s="430" t="s">
        <v>746</v>
      </c>
      <c r="D44" s="445">
        <f>13472077252
</f>
        <v>13472077252</v>
      </c>
      <c r="E44" s="431" t="s">
        <v>804</v>
      </c>
      <c r="F44" s="444"/>
      <c r="G44" s="441" t="b">
        <v>1</v>
      </c>
      <c r="H44" s="430" t="s">
        <v>650</v>
      </c>
      <c r="I44" s="431" t="s">
        <v>804</v>
      </c>
    </row>
    <row r="45" ht="15.0" customHeight="1">
      <c r="A45" s="430" t="s">
        <v>822</v>
      </c>
      <c r="B45" s="430" t="s">
        <v>823</v>
      </c>
      <c r="C45" s="430" t="s">
        <v>824</v>
      </c>
      <c r="D45" s="445">
        <f>12393282385
</f>
        <v>12393282385</v>
      </c>
      <c r="E45" s="431" t="s">
        <v>748</v>
      </c>
      <c r="F45" s="444"/>
      <c r="G45" s="441" t="b">
        <v>1</v>
      </c>
      <c r="H45" s="430" t="s">
        <v>650</v>
      </c>
      <c r="I45" s="431" t="s">
        <v>804</v>
      </c>
    </row>
    <row r="46">
      <c r="A46" s="430" t="s">
        <v>825</v>
      </c>
      <c r="B46" s="430" t="s">
        <v>826</v>
      </c>
      <c r="C46" s="430" t="s">
        <v>653</v>
      </c>
      <c r="D46" s="445">
        <f>18138478719
</f>
        <v>18138478719</v>
      </c>
      <c r="E46" s="431" t="s">
        <v>748</v>
      </c>
      <c r="F46" s="431"/>
      <c r="G46" s="433" t="b">
        <v>1</v>
      </c>
      <c r="H46" s="430" t="s">
        <v>650</v>
      </c>
      <c r="I46" s="431" t="s">
        <v>804</v>
      </c>
    </row>
    <row r="47">
      <c r="A47" s="446" t="s">
        <v>827</v>
      </c>
      <c r="B47" s="446" t="s">
        <v>828</v>
      </c>
      <c r="C47" s="430" t="s">
        <v>703</v>
      </c>
      <c r="D47" s="431" t="s">
        <v>829</v>
      </c>
      <c r="E47" s="431" t="s">
        <v>830</v>
      </c>
      <c r="F47" s="431"/>
      <c r="G47" s="433" t="b">
        <v>1</v>
      </c>
      <c r="H47" s="430" t="s">
        <v>650</v>
      </c>
      <c r="I47" s="431" t="s">
        <v>830</v>
      </c>
    </row>
    <row r="48">
      <c r="A48" s="430" t="s">
        <v>831</v>
      </c>
      <c r="B48" s="430" t="s">
        <v>832</v>
      </c>
      <c r="C48" s="430" t="s">
        <v>788</v>
      </c>
      <c r="D48" s="431" t="s">
        <v>833</v>
      </c>
      <c r="E48" s="431" t="s">
        <v>830</v>
      </c>
      <c r="F48" s="431"/>
      <c r="G48" s="433" t="b">
        <v>1</v>
      </c>
      <c r="H48" s="430" t="s">
        <v>650</v>
      </c>
      <c r="I48" s="431" t="s">
        <v>830</v>
      </c>
    </row>
    <row r="49">
      <c r="A49" s="430" t="s">
        <v>834</v>
      </c>
      <c r="B49" s="430" t="s">
        <v>835</v>
      </c>
      <c r="C49" s="430" t="s">
        <v>836</v>
      </c>
      <c r="D49" s="445">
        <f>526631260047
</f>
        <v>526631260047</v>
      </c>
      <c r="E49" s="431" t="s">
        <v>830</v>
      </c>
      <c r="F49" s="431"/>
      <c r="G49" s="433" t="b">
        <v>1</v>
      </c>
      <c r="H49" s="430" t="s">
        <v>650</v>
      </c>
      <c r="I49" s="431" t="s">
        <v>830</v>
      </c>
    </row>
    <row r="50">
      <c r="A50" s="430" t="s">
        <v>837</v>
      </c>
      <c r="B50" s="430" t="s">
        <v>838</v>
      </c>
      <c r="C50" s="430" t="s">
        <v>658</v>
      </c>
      <c r="D50" s="445">
        <f>16192218824</f>
        <v>16192218824</v>
      </c>
      <c r="E50" s="431" t="s">
        <v>830</v>
      </c>
      <c r="F50" s="431"/>
      <c r="G50" s="433" t="b">
        <v>1</v>
      </c>
      <c r="H50" s="430" t="s">
        <v>650</v>
      </c>
      <c r="I50" s="431" t="s">
        <v>830</v>
      </c>
    </row>
    <row r="51">
      <c r="A51" s="430" t="s">
        <v>839</v>
      </c>
      <c r="B51" s="430" t="s">
        <v>840</v>
      </c>
      <c r="C51" s="430" t="s">
        <v>718</v>
      </c>
      <c r="D51" s="445">
        <f>13173972773
</f>
        <v>13173972773</v>
      </c>
      <c r="E51" s="431" t="s">
        <v>830</v>
      </c>
      <c r="F51" s="431"/>
      <c r="G51" s="433" t="b">
        <v>1</v>
      </c>
      <c r="H51" s="430" t="s">
        <v>650</v>
      </c>
      <c r="I51" s="431" t="s">
        <v>830</v>
      </c>
    </row>
    <row r="52">
      <c r="A52" s="430" t="s">
        <v>841</v>
      </c>
      <c r="B52" s="430" t="s">
        <v>842</v>
      </c>
      <c r="C52" s="430" t="s">
        <v>843</v>
      </c>
      <c r="D52" s="431" t="s">
        <v>844</v>
      </c>
      <c r="E52" s="431" t="s">
        <v>845</v>
      </c>
      <c r="F52" s="431"/>
      <c r="G52" s="433" t="b">
        <v>1</v>
      </c>
      <c r="H52" s="430" t="s">
        <v>650</v>
      </c>
      <c r="I52" s="431" t="s">
        <v>845</v>
      </c>
    </row>
    <row r="53">
      <c r="A53" s="430" t="s">
        <v>846</v>
      </c>
      <c r="B53" s="430" t="s">
        <v>847</v>
      </c>
      <c r="C53" s="430" t="s">
        <v>836</v>
      </c>
      <c r="D53" s="445">
        <f>15752888701
</f>
        <v>15752888701</v>
      </c>
      <c r="E53" s="431" t="s">
        <v>845</v>
      </c>
      <c r="F53" s="431"/>
      <c r="G53" s="433" t="b">
        <v>1</v>
      </c>
      <c r="H53" s="430" t="s">
        <v>650</v>
      </c>
      <c r="I53" s="431" t="s">
        <v>845</v>
      </c>
    </row>
    <row r="54" ht="15.75" customHeight="1">
      <c r="A54" s="430" t="s">
        <v>848</v>
      </c>
      <c r="B54" s="430" t="s">
        <v>849</v>
      </c>
      <c r="C54" s="430" t="s">
        <v>725</v>
      </c>
      <c r="D54" s="445">
        <f>17744414610
</f>
        <v>17744414610</v>
      </c>
      <c r="E54" s="431" t="s">
        <v>845</v>
      </c>
      <c r="F54" s="431"/>
      <c r="G54" s="433" t="b">
        <v>1</v>
      </c>
      <c r="H54" s="430" t="s">
        <v>650</v>
      </c>
      <c r="I54" s="431" t="s">
        <v>845</v>
      </c>
    </row>
    <row r="55">
      <c r="A55" s="430" t="s">
        <v>850</v>
      </c>
      <c r="B55" s="430" t="s">
        <v>851</v>
      </c>
      <c r="C55" s="447" t="s">
        <v>218</v>
      </c>
      <c r="D55" s="431">
        <f>16467218428</f>
        <v>16467218428</v>
      </c>
      <c r="E55" s="431" t="s">
        <v>852</v>
      </c>
      <c r="F55" s="431"/>
      <c r="G55" s="433" t="b">
        <v>1</v>
      </c>
      <c r="H55" s="430" t="s">
        <v>650</v>
      </c>
      <c r="I55" s="431" t="s">
        <v>853</v>
      </c>
    </row>
    <row r="56">
      <c r="A56" s="430" t="s">
        <v>854</v>
      </c>
      <c r="B56" s="430" t="s">
        <v>855</v>
      </c>
      <c r="C56" s="447" t="s">
        <v>703</v>
      </c>
      <c r="D56" s="431" t="s">
        <v>856</v>
      </c>
      <c r="E56" s="431" t="s">
        <v>852</v>
      </c>
      <c r="F56" s="431"/>
      <c r="G56" s="433" t="b">
        <v>1</v>
      </c>
      <c r="H56" s="430" t="s">
        <v>650</v>
      </c>
      <c r="I56" s="431" t="s">
        <v>853</v>
      </c>
    </row>
    <row r="57">
      <c r="A57" s="430" t="s">
        <v>857</v>
      </c>
      <c r="B57" s="430" t="s">
        <v>858</v>
      </c>
      <c r="C57" s="447" t="s">
        <v>746</v>
      </c>
      <c r="D57" s="431">
        <f>18607953606</f>
        <v>18607953606</v>
      </c>
      <c r="E57" s="431" t="s">
        <v>852</v>
      </c>
      <c r="F57" s="431"/>
      <c r="G57" s="433" t="b">
        <v>1</v>
      </c>
      <c r="H57" s="430" t="s">
        <v>650</v>
      </c>
      <c r="I57" s="431" t="s">
        <v>853</v>
      </c>
    </row>
    <row r="58">
      <c r="A58" s="430" t="s">
        <v>859</v>
      </c>
      <c r="B58" s="430" t="s">
        <v>860</v>
      </c>
      <c r="C58" s="447" t="s">
        <v>746</v>
      </c>
      <c r="D58" s="431">
        <f>13477286858</f>
        <v>13477286858</v>
      </c>
      <c r="E58" s="431" t="s">
        <v>852</v>
      </c>
      <c r="F58" s="431"/>
      <c r="G58" s="433" t="b">
        <v>1</v>
      </c>
      <c r="H58" s="430" t="s">
        <v>650</v>
      </c>
      <c r="I58" s="431" t="s">
        <v>853</v>
      </c>
    </row>
    <row r="59">
      <c r="A59" s="430" t="s">
        <v>861</v>
      </c>
      <c r="B59" s="430" t="s">
        <v>862</v>
      </c>
      <c r="C59" s="447" t="s">
        <v>725</v>
      </c>
      <c r="D59" s="431">
        <f>17347170467</f>
        <v>17347170467</v>
      </c>
      <c r="E59" s="431" t="s">
        <v>863</v>
      </c>
      <c r="F59" s="431"/>
      <c r="G59" s="433" t="b">
        <v>1</v>
      </c>
      <c r="H59" s="430" t="s">
        <v>650</v>
      </c>
      <c r="I59" s="431" t="s">
        <v>853</v>
      </c>
    </row>
    <row r="60">
      <c r="A60" s="430" t="s">
        <v>864</v>
      </c>
      <c r="B60" s="430" t="s">
        <v>865</v>
      </c>
      <c r="C60" s="447" t="s">
        <v>746</v>
      </c>
      <c r="D60" s="431">
        <f>+12405810526</f>
        <v>12405810526</v>
      </c>
      <c r="E60" s="431" t="s">
        <v>863</v>
      </c>
      <c r="F60" s="431"/>
      <c r="G60" s="433" t="b">
        <v>1</v>
      </c>
      <c r="H60" s="430" t="s">
        <v>650</v>
      </c>
      <c r="I60" s="431" t="s">
        <v>853</v>
      </c>
    </row>
    <row r="61">
      <c r="A61" s="430" t="s">
        <v>866</v>
      </c>
      <c r="B61" s="430" t="s">
        <v>867</v>
      </c>
      <c r="C61" s="447" t="s">
        <v>746</v>
      </c>
      <c r="D61" s="431">
        <f>+16469662002</f>
        <v>16469662002</v>
      </c>
      <c r="E61" s="431" t="s">
        <v>863</v>
      </c>
      <c r="F61" s="431"/>
      <c r="G61" s="433" t="b">
        <v>1</v>
      </c>
      <c r="H61" s="430" t="s">
        <v>650</v>
      </c>
      <c r="I61" s="431" t="s">
        <v>853</v>
      </c>
    </row>
    <row r="62">
      <c r="A62" s="430" t="s">
        <v>868</v>
      </c>
      <c r="B62" s="430" t="s">
        <v>869</v>
      </c>
      <c r="C62" s="447" t="s">
        <v>870</v>
      </c>
      <c r="D62" s="431" t="s">
        <v>871</v>
      </c>
      <c r="E62" s="431" t="s">
        <v>872</v>
      </c>
      <c r="F62" s="431"/>
      <c r="G62" s="433" t="b">
        <v>1</v>
      </c>
      <c r="H62" s="430" t="s">
        <v>650</v>
      </c>
      <c r="I62" s="431" t="s">
        <v>853</v>
      </c>
    </row>
    <row r="63">
      <c r="A63" s="430" t="s">
        <v>873</v>
      </c>
      <c r="B63" s="430" t="s">
        <v>874</v>
      </c>
      <c r="C63" s="447" t="s">
        <v>669</v>
      </c>
      <c r="D63" s="431">
        <f>19082664566
</f>
        <v>19082664566</v>
      </c>
      <c r="E63" s="431" t="s">
        <v>872</v>
      </c>
      <c r="F63" s="431"/>
      <c r="G63" s="433" t="b">
        <v>1</v>
      </c>
      <c r="H63" s="430" t="s">
        <v>650</v>
      </c>
      <c r="I63" s="431" t="s">
        <v>853</v>
      </c>
    </row>
    <row r="64">
      <c r="A64" s="430" t="s">
        <v>875</v>
      </c>
      <c r="B64" s="430" t="s">
        <v>876</v>
      </c>
      <c r="C64" s="446" t="s">
        <v>746</v>
      </c>
      <c r="D64" s="431" t="s">
        <v>877</v>
      </c>
      <c r="E64" s="431" t="s">
        <v>872</v>
      </c>
      <c r="F64" s="431"/>
      <c r="G64" s="433" t="b">
        <v>1</v>
      </c>
      <c r="H64" s="430" t="s">
        <v>650</v>
      </c>
      <c r="I64" s="431" t="s">
        <v>853</v>
      </c>
    </row>
    <row r="65">
      <c r="A65" s="430" t="s">
        <v>878</v>
      </c>
      <c r="B65" s="430" t="s">
        <v>879</v>
      </c>
      <c r="C65" s="430" t="s">
        <v>679</v>
      </c>
      <c r="D65" s="431" t="s">
        <v>880</v>
      </c>
      <c r="E65" s="431" t="s">
        <v>881</v>
      </c>
      <c r="F65" s="431"/>
      <c r="G65" s="433" t="b">
        <v>1</v>
      </c>
      <c r="H65" s="430" t="s">
        <v>676</v>
      </c>
      <c r="I65" s="431" t="s">
        <v>853</v>
      </c>
    </row>
    <row r="66">
      <c r="A66" s="430" t="s">
        <v>882</v>
      </c>
      <c r="B66" s="430" t="s">
        <v>883</v>
      </c>
      <c r="C66" s="430" t="s">
        <v>679</v>
      </c>
      <c r="D66" s="431" t="s">
        <v>884</v>
      </c>
      <c r="E66" s="431" t="s">
        <v>881</v>
      </c>
      <c r="F66" s="431"/>
      <c r="G66" s="433" t="b">
        <v>1</v>
      </c>
      <c r="H66" s="448" t="s">
        <v>676</v>
      </c>
      <c r="I66" s="449" t="s">
        <v>853</v>
      </c>
    </row>
    <row r="67">
      <c r="A67" s="430" t="s">
        <v>885</v>
      </c>
      <c r="B67" s="430" t="s">
        <v>886</v>
      </c>
      <c r="C67" s="430" t="s">
        <v>696</v>
      </c>
      <c r="D67" s="431">
        <f>12167017488</f>
        <v>12167017488</v>
      </c>
      <c r="E67" s="431" t="s">
        <v>881</v>
      </c>
      <c r="F67" s="431"/>
      <c r="G67" s="433" t="b">
        <v>1</v>
      </c>
      <c r="H67" s="430" t="s">
        <v>650</v>
      </c>
      <c r="I67" s="431" t="s">
        <v>853</v>
      </c>
    </row>
    <row r="68">
      <c r="A68" s="430" t="s">
        <v>887</v>
      </c>
      <c r="B68" s="430" t="s">
        <v>888</v>
      </c>
      <c r="C68" s="430" t="s">
        <v>870</v>
      </c>
      <c r="D68" s="431" t="s">
        <v>889</v>
      </c>
      <c r="E68" s="431" t="s">
        <v>853</v>
      </c>
      <c r="F68" s="431"/>
      <c r="G68" s="433" t="b">
        <v>1</v>
      </c>
      <c r="H68" s="430" t="s">
        <v>650</v>
      </c>
      <c r="I68" s="431" t="s">
        <v>853</v>
      </c>
    </row>
    <row r="69">
      <c r="A69" s="430" t="s">
        <v>890</v>
      </c>
      <c r="B69" s="430" t="s">
        <v>891</v>
      </c>
      <c r="C69" s="430" t="s">
        <v>746</v>
      </c>
      <c r="D69" s="431" t="s">
        <v>892</v>
      </c>
      <c r="E69" s="431" t="s">
        <v>853</v>
      </c>
      <c r="F69" s="431"/>
      <c r="G69" s="433" t="b">
        <v>1</v>
      </c>
      <c r="H69" s="430" t="s">
        <v>650</v>
      </c>
      <c r="I69" s="431" t="s">
        <v>853</v>
      </c>
    </row>
    <row r="70">
      <c r="A70" s="430" t="s">
        <v>893</v>
      </c>
      <c r="B70" s="430" t="s">
        <v>894</v>
      </c>
      <c r="C70" s="430" t="s">
        <v>703</v>
      </c>
      <c r="D70" s="431" t="s">
        <v>895</v>
      </c>
      <c r="E70" s="431" t="s">
        <v>853</v>
      </c>
      <c r="F70" s="431"/>
      <c r="G70" s="433" t="b">
        <v>1</v>
      </c>
      <c r="H70" s="430" t="s">
        <v>650</v>
      </c>
      <c r="I70" s="431" t="s">
        <v>853</v>
      </c>
    </row>
    <row r="71">
      <c r="A71" s="430" t="s">
        <v>896</v>
      </c>
      <c r="B71" s="430" t="s">
        <v>897</v>
      </c>
      <c r="C71" s="430" t="s">
        <v>778</v>
      </c>
      <c r="D71" s="445">
        <f>18082279503</f>
        <v>18082279503</v>
      </c>
      <c r="E71" s="431" t="s">
        <v>853</v>
      </c>
      <c r="F71" s="431"/>
      <c r="G71" s="433" t="b">
        <v>1</v>
      </c>
      <c r="H71" s="430" t="s">
        <v>650</v>
      </c>
      <c r="I71" s="431" t="s">
        <v>853</v>
      </c>
    </row>
    <row r="72">
      <c r="A72" s="430" t="s">
        <v>898</v>
      </c>
      <c r="B72" s="430" t="s">
        <v>899</v>
      </c>
      <c r="C72" s="430" t="s">
        <v>900</v>
      </c>
      <c r="D72" s="445">
        <f>+14805461659</f>
        <v>14805461659</v>
      </c>
      <c r="E72" s="431" t="s">
        <v>853</v>
      </c>
      <c r="F72" s="431"/>
      <c r="G72" s="441" t="b">
        <v>1</v>
      </c>
      <c r="H72" s="430" t="s">
        <v>650</v>
      </c>
      <c r="I72" s="431" t="s">
        <v>901</v>
      </c>
    </row>
    <row r="73">
      <c r="A73" s="430" t="s">
        <v>902</v>
      </c>
      <c r="B73" s="430" t="s">
        <v>903</v>
      </c>
      <c r="C73" s="430" t="s">
        <v>703</v>
      </c>
      <c r="D73" s="431" t="s">
        <v>904</v>
      </c>
      <c r="E73" s="431" t="s">
        <v>905</v>
      </c>
      <c r="F73" s="431" t="s">
        <v>906</v>
      </c>
      <c r="G73" s="441" t="b">
        <v>1</v>
      </c>
      <c r="H73" s="430" t="s">
        <v>705</v>
      </c>
      <c r="I73" s="431" t="s">
        <v>901</v>
      </c>
    </row>
    <row r="74">
      <c r="A74" s="430" t="s">
        <v>907</v>
      </c>
      <c r="B74" s="430" t="s">
        <v>908</v>
      </c>
      <c r="C74" s="430" t="s">
        <v>669</v>
      </c>
      <c r="D74" s="431" t="s">
        <v>909</v>
      </c>
      <c r="E74" s="431" t="s">
        <v>905</v>
      </c>
      <c r="F74" s="450"/>
      <c r="G74" s="441" t="b">
        <v>1</v>
      </c>
      <c r="H74" s="430" t="s">
        <v>650</v>
      </c>
      <c r="I74" s="431" t="s">
        <v>901</v>
      </c>
    </row>
    <row r="75">
      <c r="A75" s="430" t="s">
        <v>910</v>
      </c>
      <c r="B75" s="430" t="s">
        <v>911</v>
      </c>
      <c r="C75" s="430" t="s">
        <v>912</v>
      </c>
      <c r="D75" s="431">
        <f>+18016000000</f>
        <v>18016000000</v>
      </c>
      <c r="E75" s="431" t="s">
        <v>905</v>
      </c>
      <c r="F75" s="450"/>
      <c r="G75" s="441" t="b">
        <v>1</v>
      </c>
      <c r="H75" s="430" t="s">
        <v>650</v>
      </c>
      <c r="I75" s="431" t="s">
        <v>901</v>
      </c>
    </row>
    <row r="76">
      <c r="A76" s="430" t="s">
        <v>913</v>
      </c>
      <c r="B76" s="430" t="s">
        <v>914</v>
      </c>
      <c r="C76" s="430" t="s">
        <v>794</v>
      </c>
      <c r="D76" s="431" t="s">
        <v>915</v>
      </c>
      <c r="E76" s="431" t="s">
        <v>916</v>
      </c>
      <c r="F76" s="450"/>
      <c r="G76" s="441" t="b">
        <v>1</v>
      </c>
      <c r="H76" s="430" t="s">
        <v>650</v>
      </c>
      <c r="I76" s="431" t="s">
        <v>901</v>
      </c>
    </row>
    <row r="77">
      <c r="A77" s="430" t="s">
        <v>917</v>
      </c>
      <c r="B77" s="430" t="s">
        <v>918</v>
      </c>
      <c r="C77" s="430" t="s">
        <v>703</v>
      </c>
      <c r="D77" s="431" t="s">
        <v>919</v>
      </c>
      <c r="E77" s="431" t="s">
        <v>916</v>
      </c>
      <c r="F77" s="450"/>
      <c r="G77" s="441" t="b">
        <v>1</v>
      </c>
      <c r="H77" s="430" t="s">
        <v>705</v>
      </c>
      <c r="I77" s="431" t="s">
        <v>901</v>
      </c>
    </row>
    <row r="78">
      <c r="A78" s="430" t="s">
        <v>920</v>
      </c>
      <c r="B78" s="430" t="s">
        <v>921</v>
      </c>
      <c r="C78" s="430" t="s">
        <v>679</v>
      </c>
      <c r="D78" s="431" t="s">
        <v>922</v>
      </c>
      <c r="E78" s="431" t="s">
        <v>916</v>
      </c>
      <c r="F78" s="450"/>
      <c r="G78" s="433" t="b">
        <v>1</v>
      </c>
      <c r="H78" s="430" t="s">
        <v>676</v>
      </c>
      <c r="I78" s="431" t="s">
        <v>901</v>
      </c>
    </row>
    <row r="79">
      <c r="A79" s="430" t="s">
        <v>923</v>
      </c>
      <c r="B79" s="430" t="s">
        <v>924</v>
      </c>
      <c r="C79" s="430" t="s">
        <v>703</v>
      </c>
      <c r="D79" s="431" t="s">
        <v>925</v>
      </c>
      <c r="E79" s="431" t="s">
        <v>916</v>
      </c>
      <c r="F79" s="450"/>
      <c r="G79" s="441" t="b">
        <v>1</v>
      </c>
      <c r="H79" s="430" t="s">
        <v>705</v>
      </c>
      <c r="I79" s="431" t="s">
        <v>901</v>
      </c>
    </row>
    <row r="80">
      <c r="A80" s="430" t="s">
        <v>926</v>
      </c>
      <c r="B80" s="430" t="s">
        <v>927</v>
      </c>
      <c r="C80" s="430" t="s">
        <v>658</v>
      </c>
      <c r="D80" s="431" t="s">
        <v>928</v>
      </c>
      <c r="E80" s="431" t="s">
        <v>901</v>
      </c>
      <c r="F80" s="450"/>
      <c r="G80" s="441" t="b">
        <v>1</v>
      </c>
      <c r="H80" s="430" t="s">
        <v>650</v>
      </c>
      <c r="I80" s="431" t="s">
        <v>901</v>
      </c>
    </row>
    <row r="81">
      <c r="A81" s="430" t="s">
        <v>929</v>
      </c>
      <c r="B81" s="430" t="s">
        <v>930</v>
      </c>
      <c r="C81" s="430" t="s">
        <v>711</v>
      </c>
      <c r="D81" s="431" t="s">
        <v>931</v>
      </c>
      <c r="E81" s="431" t="s">
        <v>901</v>
      </c>
      <c r="F81" s="450"/>
      <c r="G81" s="441" t="b">
        <v>1</v>
      </c>
      <c r="H81" s="430" t="s">
        <v>650</v>
      </c>
      <c r="I81" s="431" t="s">
        <v>901</v>
      </c>
    </row>
    <row r="82">
      <c r="A82" s="430" t="s">
        <v>932</v>
      </c>
      <c r="B82" s="430" t="s">
        <v>933</v>
      </c>
      <c r="C82" s="430" t="s">
        <v>761</v>
      </c>
      <c r="D82" s="431" t="s">
        <v>934</v>
      </c>
      <c r="E82" s="431" t="s">
        <v>901</v>
      </c>
      <c r="F82" s="450"/>
      <c r="G82" s="441" t="b">
        <v>1</v>
      </c>
      <c r="H82" s="430" t="s">
        <v>650</v>
      </c>
      <c r="I82" s="434">
        <v>45727.0</v>
      </c>
    </row>
    <row r="83">
      <c r="A83" s="430" t="s">
        <v>935</v>
      </c>
      <c r="B83" s="430" t="s">
        <v>936</v>
      </c>
      <c r="C83" s="430" t="s">
        <v>669</v>
      </c>
      <c r="D83" s="431" t="s">
        <v>937</v>
      </c>
      <c r="E83" s="431" t="s">
        <v>938</v>
      </c>
      <c r="F83" s="450"/>
      <c r="G83" s="441" t="b">
        <v>1</v>
      </c>
      <c r="H83" s="430" t="s">
        <v>650</v>
      </c>
      <c r="I83" s="434">
        <v>45727.0</v>
      </c>
    </row>
    <row r="84">
      <c r="A84" s="430" t="s">
        <v>939</v>
      </c>
      <c r="B84" s="430" t="s">
        <v>940</v>
      </c>
      <c r="C84" s="430" t="s">
        <v>679</v>
      </c>
      <c r="D84" s="431">
        <f>14695564330</f>
        <v>14695564330</v>
      </c>
      <c r="E84" s="431" t="s">
        <v>938</v>
      </c>
      <c r="F84" s="450"/>
      <c r="G84" s="433" t="b">
        <v>1</v>
      </c>
      <c r="H84" s="430" t="s">
        <v>676</v>
      </c>
      <c r="I84" s="434">
        <v>45727.0</v>
      </c>
    </row>
    <row r="85">
      <c r="A85" s="430" t="s">
        <v>941</v>
      </c>
      <c r="B85" s="430" t="s">
        <v>942</v>
      </c>
      <c r="C85" s="430" t="s">
        <v>794</v>
      </c>
      <c r="D85" s="431">
        <f>+19196699398</f>
        <v>19196699398</v>
      </c>
      <c r="E85" s="431" t="s">
        <v>938</v>
      </c>
      <c r="F85" s="450"/>
      <c r="G85" s="441" t="b">
        <v>1</v>
      </c>
      <c r="H85" s="430" t="s">
        <v>650</v>
      </c>
      <c r="I85" s="434">
        <v>45727.0</v>
      </c>
    </row>
    <row r="86">
      <c r="A86" s="430" t="s">
        <v>943</v>
      </c>
      <c r="B86" s="430" t="s">
        <v>944</v>
      </c>
      <c r="C86" s="430" t="s">
        <v>722</v>
      </c>
      <c r="D86" s="431" t="s">
        <v>945</v>
      </c>
      <c r="E86" s="434">
        <v>45668.0</v>
      </c>
      <c r="F86" s="450"/>
      <c r="G86" s="441" t="b">
        <v>1</v>
      </c>
      <c r="H86" s="430" t="s">
        <v>650</v>
      </c>
      <c r="I86" s="434">
        <v>45727.0</v>
      </c>
    </row>
    <row r="87">
      <c r="A87" s="430" t="s">
        <v>946</v>
      </c>
      <c r="B87" s="430" t="s">
        <v>947</v>
      </c>
      <c r="C87" s="430" t="s">
        <v>679</v>
      </c>
      <c r="D87" s="431" t="s">
        <v>948</v>
      </c>
      <c r="E87" s="434">
        <v>45668.0</v>
      </c>
      <c r="F87" s="450"/>
      <c r="G87" s="433" t="b">
        <v>1</v>
      </c>
      <c r="H87" s="430" t="s">
        <v>676</v>
      </c>
      <c r="I87" s="434">
        <v>45727.0</v>
      </c>
    </row>
    <row r="88">
      <c r="A88" s="430" t="s">
        <v>949</v>
      </c>
      <c r="B88" s="430" t="s">
        <v>950</v>
      </c>
      <c r="C88" s="430" t="s">
        <v>658</v>
      </c>
      <c r="D88" s="431" t="s">
        <v>951</v>
      </c>
      <c r="E88" s="434">
        <v>45668.0</v>
      </c>
      <c r="F88" s="450"/>
      <c r="G88" s="441" t="b">
        <v>1</v>
      </c>
      <c r="H88" s="430" t="s">
        <v>650</v>
      </c>
      <c r="I88" s="434">
        <v>45727.0</v>
      </c>
    </row>
    <row r="89" ht="15.75" customHeight="1">
      <c r="A89" s="430" t="s">
        <v>952</v>
      </c>
      <c r="B89" s="430" t="s">
        <v>953</v>
      </c>
      <c r="C89" s="430" t="s">
        <v>954</v>
      </c>
      <c r="D89" s="431" t="s">
        <v>955</v>
      </c>
      <c r="E89" s="434">
        <v>45668.0</v>
      </c>
      <c r="F89" s="450"/>
      <c r="G89" s="441" t="b">
        <v>1</v>
      </c>
      <c r="H89" s="430" t="s">
        <v>650</v>
      </c>
      <c r="I89" s="434">
        <v>45788.0</v>
      </c>
    </row>
    <row r="90">
      <c r="A90" s="430" t="s">
        <v>956</v>
      </c>
      <c r="B90" s="430" t="s">
        <v>957</v>
      </c>
      <c r="C90" s="430" t="s">
        <v>743</v>
      </c>
      <c r="D90" s="431">
        <f>+17735506693</f>
        <v>17735506693</v>
      </c>
      <c r="E90" s="434">
        <v>45758.0</v>
      </c>
      <c r="F90" s="450"/>
      <c r="G90" s="441" t="b">
        <v>1</v>
      </c>
      <c r="H90" s="430" t="s">
        <v>650</v>
      </c>
      <c r="I90" s="431" t="s">
        <v>958</v>
      </c>
    </row>
    <row r="91">
      <c r="A91" s="430" t="s">
        <v>959</v>
      </c>
      <c r="B91" s="430" t="s">
        <v>960</v>
      </c>
      <c r="C91" s="430" t="s">
        <v>703</v>
      </c>
      <c r="D91" s="431" t="s">
        <v>961</v>
      </c>
      <c r="E91" s="434">
        <v>45788.0</v>
      </c>
      <c r="F91" s="450"/>
      <c r="G91" s="441" t="b">
        <v>1</v>
      </c>
      <c r="H91" s="430" t="s">
        <v>650</v>
      </c>
      <c r="I91" s="431" t="s">
        <v>958</v>
      </c>
    </row>
    <row r="92">
      <c r="A92" s="430" t="s">
        <v>962</v>
      </c>
      <c r="B92" s="430" t="s">
        <v>963</v>
      </c>
      <c r="C92" s="430" t="s">
        <v>673</v>
      </c>
      <c r="D92" s="431" t="s">
        <v>964</v>
      </c>
      <c r="E92" s="434">
        <v>45819.0</v>
      </c>
      <c r="F92" s="450"/>
      <c r="G92" s="441" t="b">
        <v>1</v>
      </c>
      <c r="H92" s="430" t="s">
        <v>650</v>
      </c>
      <c r="I92" s="431" t="s">
        <v>958</v>
      </c>
    </row>
    <row r="93">
      <c r="A93" s="430" t="s">
        <v>965</v>
      </c>
      <c r="B93" s="430" t="s">
        <v>966</v>
      </c>
      <c r="C93" s="430" t="s">
        <v>648</v>
      </c>
      <c r="D93" s="431">
        <f>+17742326698</f>
        <v>17742326698</v>
      </c>
      <c r="E93" s="434">
        <v>45819.0</v>
      </c>
      <c r="F93" s="450"/>
      <c r="G93" s="441" t="b">
        <v>1</v>
      </c>
      <c r="H93" s="430" t="s">
        <v>650</v>
      </c>
      <c r="I93" s="431" t="s">
        <v>958</v>
      </c>
    </row>
    <row r="94">
      <c r="A94" s="430" t="s">
        <v>967</v>
      </c>
      <c r="B94" s="430" t="s">
        <v>968</v>
      </c>
      <c r="C94" s="430" t="s">
        <v>658</v>
      </c>
      <c r="D94" s="431" t="s">
        <v>969</v>
      </c>
      <c r="E94" s="434">
        <v>45849.0</v>
      </c>
      <c r="F94" s="450"/>
      <c r="G94" s="441" t="b">
        <v>1</v>
      </c>
      <c r="H94" s="430" t="s">
        <v>650</v>
      </c>
      <c r="I94" s="431" t="s">
        <v>958</v>
      </c>
    </row>
    <row r="95">
      <c r="A95" s="430" t="s">
        <v>970</v>
      </c>
      <c r="B95" s="430" t="s">
        <v>971</v>
      </c>
      <c r="C95" s="430" t="s">
        <v>653</v>
      </c>
      <c r="D95" s="431" t="s">
        <v>972</v>
      </c>
      <c r="E95" s="434">
        <v>45849.0</v>
      </c>
      <c r="F95" s="450"/>
      <c r="G95" s="441" t="b">
        <v>1</v>
      </c>
      <c r="H95" s="430" t="s">
        <v>650</v>
      </c>
      <c r="I95" s="431" t="s">
        <v>958</v>
      </c>
    </row>
    <row r="96">
      <c r="A96" s="430" t="s">
        <v>973</v>
      </c>
      <c r="B96" s="430" t="s">
        <v>974</v>
      </c>
      <c r="C96" s="430" t="s">
        <v>743</v>
      </c>
      <c r="D96" s="431" t="s">
        <v>975</v>
      </c>
      <c r="E96" s="434">
        <v>45849.0</v>
      </c>
      <c r="F96" s="450"/>
      <c r="G96" s="441" t="b">
        <v>1</v>
      </c>
      <c r="H96" s="430" t="s">
        <v>650</v>
      </c>
      <c r="I96" s="431" t="s">
        <v>958</v>
      </c>
    </row>
    <row r="97">
      <c r="A97" s="430" t="s">
        <v>976</v>
      </c>
      <c r="B97" s="430" t="s">
        <v>977</v>
      </c>
      <c r="C97" s="430" t="s">
        <v>703</v>
      </c>
      <c r="D97" s="431" t="s">
        <v>978</v>
      </c>
      <c r="E97" s="434">
        <v>45849.0</v>
      </c>
      <c r="F97" s="450"/>
      <c r="G97" s="441" t="b">
        <v>1</v>
      </c>
      <c r="H97" s="430" t="s">
        <v>650</v>
      </c>
      <c r="I97" s="431" t="s">
        <v>958</v>
      </c>
    </row>
    <row r="98">
      <c r="A98" s="430" t="s">
        <v>979</v>
      </c>
      <c r="B98" s="430" t="s">
        <v>980</v>
      </c>
      <c r="C98" s="430" t="s">
        <v>981</v>
      </c>
      <c r="D98" s="431">
        <f>+19789842057</f>
        <v>19789842057</v>
      </c>
      <c r="E98" s="434">
        <v>45849.0</v>
      </c>
      <c r="F98" s="450"/>
      <c r="G98" s="441" t="b">
        <v>1</v>
      </c>
      <c r="H98" s="430" t="s">
        <v>650</v>
      </c>
      <c r="I98" s="431" t="s">
        <v>958</v>
      </c>
    </row>
    <row r="99">
      <c r="A99" s="430" t="s">
        <v>982</v>
      </c>
      <c r="B99" s="430" t="s">
        <v>983</v>
      </c>
      <c r="C99" s="430" t="s">
        <v>746</v>
      </c>
      <c r="D99" s="431">
        <f>+19294179916</f>
        <v>19294179916</v>
      </c>
      <c r="E99" s="434">
        <v>45849.0</v>
      </c>
      <c r="F99" s="450"/>
      <c r="G99" s="441" t="b">
        <v>1</v>
      </c>
      <c r="H99" s="430" t="s">
        <v>650</v>
      </c>
      <c r="I99" s="431" t="s">
        <v>958</v>
      </c>
    </row>
    <row r="100">
      <c r="A100" s="430" t="s">
        <v>984</v>
      </c>
      <c r="B100" s="430" t="s">
        <v>985</v>
      </c>
      <c r="C100" s="430" t="s">
        <v>679</v>
      </c>
      <c r="D100" s="431" t="s">
        <v>986</v>
      </c>
      <c r="E100" s="434">
        <v>45880.0</v>
      </c>
      <c r="F100" s="450"/>
      <c r="G100" s="441" t="b">
        <v>1</v>
      </c>
      <c r="H100" s="430" t="s">
        <v>650</v>
      </c>
      <c r="I100" s="431" t="s">
        <v>958</v>
      </c>
    </row>
    <row r="101">
      <c r="A101" s="430" t="s">
        <v>987</v>
      </c>
      <c r="B101" s="430" t="s">
        <v>988</v>
      </c>
      <c r="C101" s="430" t="s">
        <v>703</v>
      </c>
      <c r="D101" s="431" t="s">
        <v>989</v>
      </c>
      <c r="E101" s="434">
        <v>45880.0</v>
      </c>
      <c r="F101" s="450"/>
      <c r="G101" s="441" t="b">
        <v>1</v>
      </c>
      <c r="H101" s="430" t="s">
        <v>650</v>
      </c>
      <c r="I101" s="431" t="s">
        <v>958</v>
      </c>
    </row>
    <row r="102">
      <c r="A102" s="430" t="s">
        <v>990</v>
      </c>
      <c r="B102" s="430" t="s">
        <v>991</v>
      </c>
      <c r="C102" s="430" t="s">
        <v>696</v>
      </c>
      <c r="D102" s="431">
        <f>+16149290222</f>
        <v>16149290222</v>
      </c>
      <c r="E102" s="434">
        <v>45880.0</v>
      </c>
      <c r="F102" s="450"/>
      <c r="G102" s="441" t="b">
        <v>1</v>
      </c>
      <c r="H102" s="430" t="s">
        <v>650</v>
      </c>
      <c r="I102" s="431" t="s">
        <v>958</v>
      </c>
    </row>
    <row r="103">
      <c r="A103" s="430"/>
      <c r="B103" s="430"/>
      <c r="C103" s="430"/>
      <c r="D103" s="431"/>
      <c r="E103" s="434"/>
      <c r="F103" s="450"/>
      <c r="G103" s="441" t="b">
        <v>0</v>
      </c>
      <c r="H103" s="430"/>
      <c r="I103" s="431"/>
    </row>
    <row r="104">
      <c r="D104" s="382"/>
      <c r="E104" s="451"/>
      <c r="F104" s="451"/>
    </row>
    <row r="105">
      <c r="D105" s="382"/>
      <c r="E105" s="451"/>
      <c r="F105" s="451"/>
    </row>
    <row r="106">
      <c r="D106" s="382"/>
      <c r="E106" s="451"/>
      <c r="F106" s="451"/>
    </row>
    <row r="107">
      <c r="D107" s="382"/>
      <c r="E107" s="451"/>
      <c r="F107" s="451"/>
    </row>
    <row r="108">
      <c r="D108" s="382"/>
      <c r="E108" s="451"/>
      <c r="F108" s="451"/>
    </row>
    <row r="109">
      <c r="D109" s="382"/>
      <c r="E109" s="451"/>
      <c r="F109" s="451"/>
    </row>
    <row r="110">
      <c r="D110" s="382"/>
      <c r="E110" s="451"/>
      <c r="F110" s="451"/>
    </row>
    <row r="111">
      <c r="D111" s="382"/>
      <c r="E111" s="451"/>
      <c r="F111" s="451"/>
    </row>
    <row r="112">
      <c r="D112" s="382"/>
      <c r="E112" s="451"/>
      <c r="F112" s="451"/>
    </row>
    <row r="113">
      <c r="D113" s="382"/>
      <c r="E113" s="451"/>
      <c r="F113" s="451"/>
    </row>
    <row r="114">
      <c r="D114" s="382"/>
      <c r="E114" s="451"/>
      <c r="F114" s="451"/>
    </row>
    <row r="115">
      <c r="D115" s="382"/>
      <c r="E115" s="451"/>
      <c r="F115" s="451"/>
    </row>
    <row r="116">
      <c r="D116" s="382"/>
      <c r="E116" s="451"/>
      <c r="F116" s="451"/>
    </row>
    <row r="117">
      <c r="D117" s="382"/>
      <c r="E117" s="451"/>
      <c r="F117" s="451"/>
    </row>
    <row r="118">
      <c r="D118" s="382"/>
      <c r="E118" s="451"/>
      <c r="F118" s="451"/>
    </row>
    <row r="119">
      <c r="D119" s="382"/>
      <c r="E119" s="451"/>
      <c r="F119" s="451"/>
    </row>
    <row r="120">
      <c r="D120" s="382"/>
      <c r="E120" s="451"/>
      <c r="F120" s="451"/>
    </row>
    <row r="121">
      <c r="D121" s="382"/>
      <c r="E121" s="451"/>
      <c r="F121" s="451"/>
    </row>
    <row r="122">
      <c r="D122" s="382"/>
      <c r="E122" s="451"/>
      <c r="F122" s="451"/>
    </row>
    <row r="123">
      <c r="D123" s="382"/>
      <c r="E123" s="451"/>
      <c r="F123" s="451"/>
    </row>
    <row r="124">
      <c r="D124" s="382"/>
      <c r="E124" s="451"/>
      <c r="F124" s="451"/>
    </row>
    <row r="125">
      <c r="D125" s="382"/>
      <c r="E125" s="451"/>
      <c r="F125" s="451"/>
    </row>
    <row r="126">
      <c r="D126" s="382"/>
      <c r="E126" s="451"/>
      <c r="F126" s="451"/>
    </row>
    <row r="127">
      <c r="D127" s="382"/>
      <c r="E127" s="451"/>
      <c r="F127" s="451"/>
    </row>
    <row r="128">
      <c r="D128" s="382"/>
      <c r="E128" s="451"/>
      <c r="F128" s="451"/>
    </row>
    <row r="129">
      <c r="D129" s="382"/>
      <c r="E129" s="451"/>
      <c r="F129" s="451"/>
    </row>
    <row r="130">
      <c r="D130" s="382"/>
      <c r="E130" s="451"/>
      <c r="F130" s="451"/>
    </row>
    <row r="131">
      <c r="D131" s="382"/>
      <c r="E131" s="451"/>
      <c r="F131" s="451"/>
    </row>
    <row r="132">
      <c r="D132" s="382"/>
      <c r="E132" s="451"/>
      <c r="F132" s="451"/>
    </row>
    <row r="133">
      <c r="E133" s="451"/>
      <c r="F133" s="451"/>
    </row>
    <row r="134">
      <c r="E134" s="451"/>
      <c r="F134" s="451"/>
    </row>
    <row r="135">
      <c r="E135" s="451"/>
      <c r="F135" s="451"/>
    </row>
    <row r="136">
      <c r="E136" s="451"/>
      <c r="F136" s="451"/>
    </row>
    <row r="137">
      <c r="E137" s="451"/>
      <c r="F137" s="451"/>
    </row>
    <row r="138">
      <c r="E138" s="451"/>
      <c r="F138" s="451"/>
    </row>
    <row r="139">
      <c r="E139" s="451"/>
      <c r="F139" s="451"/>
    </row>
    <row r="140">
      <c r="E140" s="451"/>
      <c r="F140" s="451"/>
    </row>
    <row r="141">
      <c r="E141" s="451"/>
      <c r="F141" s="451"/>
    </row>
    <row r="142">
      <c r="E142" s="451"/>
      <c r="F142" s="451"/>
    </row>
    <row r="143">
      <c r="E143" s="451"/>
      <c r="F143" s="451"/>
    </row>
    <row r="144">
      <c r="E144" s="451"/>
      <c r="F144" s="451"/>
    </row>
    <row r="145">
      <c r="E145" s="451"/>
      <c r="F145" s="451"/>
    </row>
    <row r="146">
      <c r="E146" s="451"/>
      <c r="F146" s="451"/>
    </row>
    <row r="147">
      <c r="E147" s="451"/>
      <c r="F147" s="451"/>
    </row>
    <row r="148">
      <c r="E148" s="451"/>
      <c r="F148" s="451"/>
    </row>
    <row r="149">
      <c r="E149" s="451"/>
      <c r="F149" s="451"/>
    </row>
    <row r="150">
      <c r="E150" s="451"/>
      <c r="F150" s="451"/>
    </row>
    <row r="151">
      <c r="E151" s="451"/>
      <c r="F151" s="451"/>
    </row>
    <row r="152">
      <c r="E152" s="451"/>
      <c r="F152" s="451"/>
    </row>
    <row r="153">
      <c r="E153" s="451"/>
      <c r="F153" s="451"/>
    </row>
    <row r="154">
      <c r="E154" s="451"/>
      <c r="F154" s="451"/>
    </row>
    <row r="155">
      <c r="E155" s="451"/>
      <c r="F155" s="451"/>
    </row>
    <row r="156">
      <c r="E156" s="451"/>
      <c r="F156" s="451"/>
    </row>
    <row r="157">
      <c r="E157" s="451"/>
      <c r="F157" s="451"/>
    </row>
    <row r="158">
      <c r="E158" s="451"/>
      <c r="F158" s="451"/>
    </row>
    <row r="159">
      <c r="E159" s="451"/>
      <c r="F159" s="451"/>
    </row>
    <row r="160">
      <c r="E160" s="451"/>
      <c r="F160" s="451"/>
    </row>
    <row r="161">
      <c r="E161" s="451"/>
      <c r="F161" s="451"/>
    </row>
    <row r="162">
      <c r="E162" s="451"/>
      <c r="F162" s="451"/>
    </row>
    <row r="163">
      <c r="E163" s="451"/>
      <c r="F163" s="451"/>
    </row>
    <row r="164">
      <c r="E164" s="451"/>
      <c r="F164" s="451"/>
    </row>
    <row r="165">
      <c r="E165" s="451"/>
      <c r="F165" s="451"/>
    </row>
    <row r="166">
      <c r="E166" s="451"/>
      <c r="F166" s="451"/>
    </row>
    <row r="167">
      <c r="E167" s="451"/>
      <c r="F167" s="451"/>
    </row>
    <row r="168">
      <c r="E168" s="451"/>
      <c r="F168" s="451"/>
    </row>
    <row r="169">
      <c r="E169" s="451"/>
      <c r="F169" s="451"/>
    </row>
    <row r="170">
      <c r="E170" s="451"/>
      <c r="F170" s="451"/>
    </row>
    <row r="171">
      <c r="E171" s="451"/>
      <c r="F171" s="451"/>
    </row>
    <row r="172">
      <c r="E172" s="451"/>
      <c r="F172" s="451"/>
    </row>
    <row r="173">
      <c r="E173" s="451"/>
      <c r="F173" s="451"/>
    </row>
    <row r="174">
      <c r="E174" s="451"/>
      <c r="F174" s="451"/>
    </row>
    <row r="175">
      <c r="E175" s="451"/>
      <c r="F175" s="451"/>
    </row>
    <row r="176">
      <c r="E176" s="451"/>
      <c r="F176" s="451"/>
    </row>
    <row r="177">
      <c r="E177" s="451"/>
      <c r="F177" s="451"/>
    </row>
    <row r="178">
      <c r="E178" s="451"/>
      <c r="F178" s="451"/>
    </row>
    <row r="179">
      <c r="E179" s="451"/>
      <c r="F179" s="451"/>
    </row>
    <row r="180">
      <c r="E180" s="451"/>
      <c r="F180" s="451"/>
    </row>
    <row r="181">
      <c r="E181" s="451"/>
      <c r="F181" s="451"/>
    </row>
    <row r="182">
      <c r="E182" s="451"/>
      <c r="F182" s="451"/>
    </row>
    <row r="183">
      <c r="E183" s="451"/>
      <c r="F183" s="451"/>
    </row>
    <row r="184">
      <c r="E184" s="451"/>
      <c r="F184" s="451"/>
    </row>
    <row r="185">
      <c r="E185" s="451"/>
      <c r="F185" s="451"/>
    </row>
    <row r="186">
      <c r="E186" s="451"/>
      <c r="F186" s="451"/>
    </row>
    <row r="187">
      <c r="E187" s="451"/>
      <c r="F187" s="451"/>
    </row>
    <row r="188">
      <c r="E188" s="451"/>
      <c r="F188" s="451"/>
    </row>
    <row r="189">
      <c r="E189" s="451"/>
      <c r="F189" s="451"/>
    </row>
    <row r="190">
      <c r="E190" s="451"/>
      <c r="F190" s="451"/>
    </row>
    <row r="191">
      <c r="E191" s="451"/>
      <c r="F191" s="451"/>
    </row>
    <row r="192">
      <c r="E192" s="451"/>
      <c r="F192" s="451"/>
    </row>
    <row r="193">
      <c r="E193" s="451"/>
      <c r="F193" s="451"/>
    </row>
    <row r="194">
      <c r="E194" s="451"/>
      <c r="F194" s="451"/>
    </row>
    <row r="195">
      <c r="E195" s="451"/>
      <c r="F195" s="451"/>
    </row>
    <row r="196">
      <c r="E196" s="451"/>
      <c r="F196" s="451"/>
    </row>
    <row r="197">
      <c r="E197" s="451"/>
      <c r="F197" s="451"/>
    </row>
    <row r="198">
      <c r="E198" s="451"/>
      <c r="F198" s="451"/>
    </row>
    <row r="199">
      <c r="E199" s="451"/>
      <c r="F199" s="451"/>
    </row>
    <row r="200">
      <c r="E200" s="451"/>
      <c r="F200" s="451"/>
    </row>
    <row r="201">
      <c r="E201" s="451"/>
      <c r="F201" s="451"/>
    </row>
    <row r="202">
      <c r="E202" s="451"/>
      <c r="F202" s="451"/>
    </row>
    <row r="203">
      <c r="E203" s="451"/>
      <c r="F203" s="451"/>
    </row>
    <row r="204">
      <c r="E204" s="451"/>
      <c r="F204" s="451"/>
    </row>
    <row r="205">
      <c r="E205" s="451"/>
      <c r="F205" s="451"/>
    </row>
    <row r="206">
      <c r="E206" s="451"/>
      <c r="F206" s="451"/>
    </row>
    <row r="207">
      <c r="E207" s="451"/>
      <c r="F207" s="451"/>
    </row>
    <row r="208">
      <c r="E208" s="451"/>
      <c r="F208" s="451"/>
    </row>
    <row r="209">
      <c r="E209" s="451"/>
      <c r="F209" s="451"/>
    </row>
    <row r="210">
      <c r="E210" s="451"/>
      <c r="F210" s="451"/>
    </row>
    <row r="211">
      <c r="E211" s="451"/>
      <c r="F211" s="451"/>
    </row>
    <row r="212">
      <c r="E212" s="451"/>
      <c r="F212" s="451"/>
    </row>
    <row r="213">
      <c r="E213" s="451"/>
      <c r="F213" s="451"/>
    </row>
    <row r="214">
      <c r="E214" s="451"/>
      <c r="F214" s="451"/>
    </row>
    <row r="215">
      <c r="E215" s="451"/>
      <c r="F215" s="451"/>
    </row>
    <row r="216">
      <c r="E216" s="451"/>
      <c r="F216" s="451"/>
    </row>
    <row r="217">
      <c r="E217" s="451"/>
      <c r="F217" s="451"/>
    </row>
    <row r="218">
      <c r="E218" s="451"/>
      <c r="F218" s="451"/>
    </row>
    <row r="219">
      <c r="E219" s="451"/>
      <c r="F219" s="451"/>
    </row>
    <row r="220">
      <c r="E220" s="451"/>
      <c r="F220" s="451"/>
    </row>
    <row r="221">
      <c r="E221" s="451"/>
      <c r="F221" s="451"/>
    </row>
    <row r="222">
      <c r="E222" s="451"/>
      <c r="F222" s="451"/>
    </row>
    <row r="223">
      <c r="E223" s="451"/>
      <c r="F223" s="451"/>
    </row>
    <row r="224">
      <c r="E224" s="451"/>
      <c r="F224" s="451"/>
    </row>
    <row r="225">
      <c r="E225" s="451"/>
      <c r="F225" s="451"/>
    </row>
    <row r="226">
      <c r="E226" s="451"/>
      <c r="F226" s="451"/>
    </row>
    <row r="227">
      <c r="E227" s="451"/>
      <c r="F227" s="451"/>
    </row>
    <row r="228">
      <c r="E228" s="451"/>
      <c r="F228" s="451"/>
    </row>
    <row r="229">
      <c r="E229" s="451"/>
      <c r="F229" s="451"/>
    </row>
    <row r="230">
      <c r="E230" s="451"/>
      <c r="F230" s="451"/>
    </row>
    <row r="231">
      <c r="E231" s="451"/>
      <c r="F231" s="451"/>
    </row>
    <row r="232">
      <c r="E232" s="451"/>
      <c r="F232" s="451"/>
    </row>
    <row r="233">
      <c r="E233" s="451"/>
      <c r="F233" s="451"/>
    </row>
    <row r="234">
      <c r="E234" s="451"/>
      <c r="F234" s="451"/>
    </row>
    <row r="235">
      <c r="E235" s="451"/>
      <c r="F235" s="451"/>
    </row>
    <row r="236">
      <c r="E236" s="451"/>
      <c r="F236" s="451"/>
    </row>
    <row r="237">
      <c r="E237" s="451"/>
      <c r="F237" s="451"/>
    </row>
    <row r="238">
      <c r="E238" s="451"/>
      <c r="F238" s="451"/>
    </row>
    <row r="239">
      <c r="E239" s="451"/>
      <c r="F239" s="451"/>
    </row>
    <row r="240">
      <c r="E240" s="451"/>
      <c r="F240" s="451"/>
    </row>
    <row r="241">
      <c r="E241" s="451"/>
      <c r="F241" s="451"/>
    </row>
    <row r="242">
      <c r="E242" s="451"/>
      <c r="F242" s="451"/>
    </row>
    <row r="243">
      <c r="E243" s="451"/>
      <c r="F243" s="451"/>
    </row>
    <row r="244">
      <c r="E244" s="451"/>
      <c r="F244" s="451"/>
    </row>
    <row r="245">
      <c r="E245" s="451"/>
      <c r="F245" s="451"/>
    </row>
    <row r="246">
      <c r="E246" s="451"/>
      <c r="F246" s="451"/>
    </row>
    <row r="247">
      <c r="E247" s="451"/>
      <c r="F247" s="451"/>
    </row>
    <row r="248">
      <c r="E248" s="451"/>
      <c r="F248" s="451"/>
    </row>
    <row r="249">
      <c r="E249" s="451"/>
      <c r="F249" s="451"/>
    </row>
    <row r="250">
      <c r="E250" s="451"/>
      <c r="F250" s="451"/>
    </row>
    <row r="251">
      <c r="E251" s="451"/>
      <c r="F251" s="451"/>
    </row>
    <row r="252">
      <c r="E252" s="451"/>
      <c r="F252" s="451"/>
    </row>
    <row r="253">
      <c r="E253" s="451"/>
      <c r="F253" s="451"/>
    </row>
    <row r="254">
      <c r="E254" s="451"/>
      <c r="F254" s="451"/>
    </row>
    <row r="255">
      <c r="E255" s="451"/>
      <c r="F255" s="451"/>
    </row>
    <row r="256">
      <c r="E256" s="451"/>
      <c r="F256" s="451"/>
    </row>
    <row r="257">
      <c r="E257" s="451"/>
      <c r="F257" s="451"/>
    </row>
    <row r="258">
      <c r="E258" s="451"/>
      <c r="F258" s="451"/>
    </row>
    <row r="259">
      <c r="E259" s="451"/>
      <c r="F259" s="451"/>
    </row>
    <row r="260">
      <c r="E260" s="451"/>
      <c r="F260" s="451"/>
    </row>
    <row r="261">
      <c r="E261" s="451"/>
      <c r="F261" s="451"/>
    </row>
    <row r="262">
      <c r="E262" s="451"/>
      <c r="F262" s="451"/>
    </row>
    <row r="263">
      <c r="E263" s="451"/>
      <c r="F263" s="451"/>
    </row>
    <row r="264">
      <c r="E264" s="451"/>
      <c r="F264" s="451"/>
    </row>
    <row r="265">
      <c r="E265" s="451"/>
      <c r="F265" s="451"/>
    </row>
    <row r="266">
      <c r="E266" s="451"/>
      <c r="F266" s="451"/>
    </row>
    <row r="267">
      <c r="E267" s="451"/>
      <c r="F267" s="451"/>
    </row>
    <row r="268">
      <c r="E268" s="451"/>
      <c r="F268" s="451"/>
    </row>
    <row r="269">
      <c r="E269" s="451"/>
      <c r="F269" s="451"/>
    </row>
    <row r="270">
      <c r="E270" s="451"/>
      <c r="F270" s="451"/>
    </row>
    <row r="271">
      <c r="E271" s="451"/>
      <c r="F271" s="451"/>
    </row>
    <row r="272">
      <c r="E272" s="451"/>
      <c r="F272" s="451"/>
    </row>
    <row r="273">
      <c r="E273" s="451"/>
      <c r="F273" s="451"/>
    </row>
    <row r="274">
      <c r="E274" s="451"/>
      <c r="F274" s="451"/>
    </row>
    <row r="275">
      <c r="E275" s="451"/>
      <c r="F275" s="451"/>
    </row>
    <row r="276">
      <c r="E276" s="451"/>
      <c r="F276" s="451"/>
    </row>
    <row r="277">
      <c r="E277" s="451"/>
      <c r="F277" s="451"/>
    </row>
    <row r="278">
      <c r="E278" s="451"/>
      <c r="F278" s="451"/>
    </row>
    <row r="279">
      <c r="E279" s="451"/>
      <c r="F279" s="451"/>
    </row>
    <row r="280">
      <c r="E280" s="451"/>
      <c r="F280" s="451"/>
    </row>
    <row r="281">
      <c r="E281" s="451"/>
      <c r="F281" s="451"/>
    </row>
    <row r="282">
      <c r="E282" s="451"/>
      <c r="F282" s="451"/>
    </row>
    <row r="283">
      <c r="E283" s="451"/>
      <c r="F283" s="451"/>
    </row>
    <row r="284">
      <c r="E284" s="451"/>
      <c r="F284" s="451"/>
    </row>
    <row r="285">
      <c r="E285" s="451"/>
      <c r="F285" s="451"/>
    </row>
    <row r="286">
      <c r="E286" s="451"/>
      <c r="F286" s="451"/>
    </row>
    <row r="287">
      <c r="E287" s="451"/>
      <c r="F287" s="451"/>
    </row>
    <row r="288">
      <c r="E288" s="451"/>
      <c r="F288" s="451"/>
    </row>
    <row r="289">
      <c r="E289" s="451"/>
      <c r="F289" s="451"/>
    </row>
    <row r="290">
      <c r="E290" s="451"/>
      <c r="F290" s="451"/>
    </row>
    <row r="291">
      <c r="E291" s="451"/>
      <c r="F291" s="451"/>
    </row>
    <row r="292">
      <c r="E292" s="451"/>
      <c r="F292" s="451"/>
    </row>
    <row r="293">
      <c r="E293" s="451"/>
      <c r="F293" s="451"/>
    </row>
    <row r="294">
      <c r="E294" s="451"/>
      <c r="F294" s="451"/>
    </row>
    <row r="295">
      <c r="E295" s="451"/>
      <c r="F295" s="451"/>
    </row>
    <row r="296">
      <c r="E296" s="451"/>
      <c r="F296" s="451"/>
    </row>
    <row r="297">
      <c r="E297" s="451"/>
      <c r="F297" s="451"/>
    </row>
    <row r="298">
      <c r="E298" s="451"/>
      <c r="F298" s="451"/>
    </row>
    <row r="299">
      <c r="E299" s="451"/>
      <c r="F299" s="451"/>
    </row>
    <row r="300">
      <c r="E300" s="451"/>
      <c r="F300" s="451"/>
    </row>
    <row r="301">
      <c r="E301" s="451"/>
      <c r="F301" s="451"/>
    </row>
    <row r="302">
      <c r="E302" s="451"/>
      <c r="F302" s="451"/>
    </row>
    <row r="303">
      <c r="E303" s="451"/>
      <c r="F303" s="451"/>
    </row>
    <row r="304">
      <c r="E304" s="451"/>
      <c r="F304" s="451"/>
    </row>
    <row r="305">
      <c r="E305" s="451"/>
      <c r="F305" s="451"/>
    </row>
    <row r="306">
      <c r="E306" s="451"/>
      <c r="F306" s="451"/>
    </row>
    <row r="307">
      <c r="E307" s="451"/>
      <c r="F307" s="451"/>
    </row>
    <row r="308">
      <c r="E308" s="451"/>
      <c r="F308" s="451"/>
    </row>
    <row r="309">
      <c r="E309" s="451"/>
      <c r="F309" s="451"/>
    </row>
    <row r="310">
      <c r="E310" s="451"/>
      <c r="F310" s="451"/>
    </row>
    <row r="311">
      <c r="E311" s="451"/>
      <c r="F311" s="451"/>
    </row>
    <row r="312">
      <c r="E312" s="451"/>
      <c r="F312" s="451"/>
    </row>
    <row r="313">
      <c r="E313" s="451"/>
      <c r="F313" s="451"/>
    </row>
    <row r="314">
      <c r="E314" s="451"/>
      <c r="F314" s="451"/>
    </row>
    <row r="315">
      <c r="E315" s="451"/>
      <c r="F315" s="451"/>
    </row>
    <row r="316">
      <c r="E316" s="451"/>
      <c r="F316" s="451"/>
    </row>
    <row r="317">
      <c r="E317" s="451"/>
      <c r="F317" s="451"/>
    </row>
    <row r="318">
      <c r="E318" s="451"/>
      <c r="F318" s="451"/>
    </row>
    <row r="319">
      <c r="E319" s="451"/>
      <c r="F319" s="451"/>
    </row>
    <row r="320">
      <c r="E320" s="451"/>
      <c r="F320" s="451"/>
    </row>
    <row r="321">
      <c r="E321" s="451"/>
      <c r="F321" s="451"/>
    </row>
    <row r="322">
      <c r="E322" s="451"/>
      <c r="F322" s="451"/>
    </row>
    <row r="323">
      <c r="E323" s="451"/>
      <c r="F323" s="451"/>
    </row>
    <row r="324">
      <c r="E324" s="451"/>
      <c r="F324" s="451"/>
    </row>
    <row r="325">
      <c r="E325" s="451"/>
      <c r="F325" s="451"/>
    </row>
    <row r="326">
      <c r="E326" s="451"/>
      <c r="F326" s="451"/>
    </row>
    <row r="327">
      <c r="E327" s="451"/>
      <c r="F327" s="451"/>
    </row>
    <row r="328">
      <c r="E328" s="451"/>
      <c r="F328" s="451"/>
    </row>
    <row r="329">
      <c r="E329" s="451"/>
      <c r="F329" s="451"/>
    </row>
    <row r="330">
      <c r="E330" s="451"/>
      <c r="F330" s="451"/>
    </row>
    <row r="331">
      <c r="E331" s="451"/>
      <c r="F331" s="451"/>
    </row>
    <row r="332">
      <c r="E332" s="451"/>
      <c r="F332" s="451"/>
    </row>
    <row r="333">
      <c r="E333" s="451"/>
      <c r="F333" s="451"/>
    </row>
    <row r="334">
      <c r="E334" s="451"/>
      <c r="F334" s="451"/>
    </row>
    <row r="335">
      <c r="E335" s="451"/>
      <c r="F335" s="451"/>
    </row>
    <row r="336">
      <c r="E336" s="451"/>
      <c r="F336" s="451"/>
    </row>
    <row r="337">
      <c r="E337" s="451"/>
      <c r="F337" s="451"/>
    </row>
    <row r="338">
      <c r="E338" s="451"/>
      <c r="F338" s="451"/>
    </row>
    <row r="339">
      <c r="E339" s="451"/>
      <c r="F339" s="451"/>
    </row>
    <row r="340">
      <c r="E340" s="451"/>
      <c r="F340" s="451"/>
    </row>
    <row r="341">
      <c r="E341" s="451"/>
      <c r="F341" s="451"/>
    </row>
    <row r="342">
      <c r="E342" s="451"/>
      <c r="F342" s="451"/>
    </row>
    <row r="343">
      <c r="E343" s="451"/>
      <c r="F343" s="451"/>
    </row>
    <row r="344">
      <c r="E344" s="451"/>
      <c r="F344" s="451"/>
    </row>
    <row r="345">
      <c r="E345" s="451"/>
      <c r="F345" s="451"/>
    </row>
    <row r="346">
      <c r="E346" s="451"/>
      <c r="F346" s="451"/>
    </row>
    <row r="347">
      <c r="E347" s="451"/>
      <c r="F347" s="451"/>
    </row>
    <row r="348">
      <c r="E348" s="451"/>
      <c r="F348" s="451"/>
    </row>
    <row r="349">
      <c r="E349" s="451"/>
      <c r="F349" s="451"/>
    </row>
    <row r="350">
      <c r="E350" s="451"/>
      <c r="F350" s="451"/>
    </row>
    <row r="351">
      <c r="E351" s="451"/>
      <c r="F351" s="451"/>
    </row>
    <row r="352">
      <c r="E352" s="451"/>
      <c r="F352" s="451"/>
    </row>
    <row r="353">
      <c r="E353" s="451"/>
      <c r="F353" s="451"/>
    </row>
    <row r="354">
      <c r="E354" s="451"/>
      <c r="F354" s="451"/>
    </row>
    <row r="355">
      <c r="E355" s="451"/>
      <c r="F355" s="451"/>
    </row>
    <row r="356">
      <c r="E356" s="451"/>
      <c r="F356" s="451"/>
    </row>
    <row r="357">
      <c r="E357" s="451"/>
      <c r="F357" s="451"/>
    </row>
    <row r="358">
      <c r="E358" s="451"/>
      <c r="F358" s="451"/>
    </row>
    <row r="359">
      <c r="E359" s="451"/>
      <c r="F359" s="451"/>
    </row>
    <row r="360">
      <c r="E360" s="451"/>
      <c r="F360" s="451"/>
    </row>
    <row r="361">
      <c r="E361" s="451"/>
      <c r="F361" s="451"/>
    </row>
    <row r="362">
      <c r="E362" s="451"/>
      <c r="F362" s="451"/>
    </row>
    <row r="363">
      <c r="E363" s="451"/>
      <c r="F363" s="451"/>
    </row>
    <row r="364">
      <c r="E364" s="451"/>
      <c r="F364" s="451"/>
    </row>
    <row r="365">
      <c r="E365" s="451"/>
      <c r="F365" s="451"/>
    </row>
    <row r="366">
      <c r="E366" s="451"/>
      <c r="F366" s="451"/>
    </row>
    <row r="367">
      <c r="E367" s="451"/>
      <c r="F367" s="451"/>
    </row>
    <row r="368">
      <c r="E368" s="451"/>
      <c r="F368" s="451"/>
    </row>
    <row r="369">
      <c r="E369" s="451"/>
      <c r="F369" s="451"/>
    </row>
    <row r="370">
      <c r="E370" s="451"/>
      <c r="F370" s="451"/>
    </row>
    <row r="371">
      <c r="E371" s="451"/>
      <c r="F371" s="451"/>
    </row>
    <row r="372">
      <c r="E372" s="451"/>
      <c r="F372" s="451"/>
    </row>
    <row r="373">
      <c r="E373" s="451"/>
      <c r="F373" s="451"/>
    </row>
    <row r="374">
      <c r="E374" s="451"/>
      <c r="F374" s="451"/>
    </row>
    <row r="375">
      <c r="E375" s="451"/>
      <c r="F375" s="451"/>
    </row>
    <row r="376">
      <c r="E376" s="451"/>
      <c r="F376" s="451"/>
    </row>
    <row r="377">
      <c r="E377" s="451"/>
      <c r="F377" s="451"/>
    </row>
    <row r="378">
      <c r="E378" s="451"/>
      <c r="F378" s="451"/>
    </row>
    <row r="379">
      <c r="E379" s="451"/>
      <c r="F379" s="451"/>
    </row>
    <row r="380">
      <c r="E380" s="451"/>
      <c r="F380" s="451"/>
    </row>
    <row r="381">
      <c r="E381" s="451"/>
      <c r="F381" s="451"/>
    </row>
    <row r="382">
      <c r="E382" s="451"/>
      <c r="F382" s="451"/>
    </row>
    <row r="383">
      <c r="E383" s="451"/>
      <c r="F383" s="451"/>
    </row>
    <row r="384">
      <c r="E384" s="451"/>
      <c r="F384" s="451"/>
    </row>
    <row r="385">
      <c r="E385" s="451"/>
      <c r="F385" s="451"/>
    </row>
    <row r="386">
      <c r="E386" s="451"/>
      <c r="F386" s="451"/>
    </row>
    <row r="387">
      <c r="E387" s="451"/>
      <c r="F387" s="451"/>
    </row>
    <row r="388">
      <c r="E388" s="451"/>
      <c r="F388" s="451"/>
    </row>
    <row r="389">
      <c r="E389" s="451"/>
      <c r="F389" s="451"/>
    </row>
    <row r="390">
      <c r="E390" s="451"/>
      <c r="F390" s="451"/>
    </row>
    <row r="391">
      <c r="E391" s="451"/>
      <c r="F391" s="451"/>
    </row>
    <row r="392">
      <c r="E392" s="451"/>
      <c r="F392" s="451"/>
    </row>
    <row r="393">
      <c r="E393" s="451"/>
      <c r="F393" s="451"/>
    </row>
    <row r="394">
      <c r="E394" s="451"/>
      <c r="F394" s="451"/>
    </row>
    <row r="395">
      <c r="E395" s="451"/>
      <c r="F395" s="451"/>
    </row>
    <row r="396">
      <c r="E396" s="451"/>
      <c r="F396" s="451"/>
    </row>
    <row r="397">
      <c r="E397" s="451"/>
      <c r="F397" s="451"/>
    </row>
    <row r="398">
      <c r="E398" s="451"/>
      <c r="F398" s="451"/>
    </row>
    <row r="399">
      <c r="E399" s="451"/>
      <c r="F399" s="451"/>
    </row>
    <row r="400">
      <c r="E400" s="451"/>
      <c r="F400" s="451"/>
    </row>
    <row r="401">
      <c r="E401" s="451"/>
      <c r="F401" s="451"/>
    </row>
    <row r="402">
      <c r="E402" s="451"/>
      <c r="F402" s="451"/>
    </row>
    <row r="403">
      <c r="E403" s="451"/>
      <c r="F403" s="451"/>
    </row>
    <row r="404">
      <c r="E404" s="451"/>
      <c r="F404" s="451"/>
    </row>
    <row r="405">
      <c r="E405" s="451"/>
      <c r="F405" s="451"/>
    </row>
    <row r="406">
      <c r="E406" s="451"/>
      <c r="F406" s="451"/>
    </row>
    <row r="407">
      <c r="E407" s="451"/>
      <c r="F407" s="451"/>
    </row>
    <row r="408">
      <c r="E408" s="451"/>
      <c r="F408" s="451"/>
    </row>
    <row r="409">
      <c r="E409" s="451"/>
      <c r="F409" s="451"/>
    </row>
    <row r="410">
      <c r="E410" s="451"/>
      <c r="F410" s="451"/>
    </row>
    <row r="411">
      <c r="E411" s="451"/>
      <c r="F411" s="451"/>
    </row>
    <row r="412">
      <c r="E412" s="451"/>
      <c r="F412" s="451"/>
    </row>
    <row r="413">
      <c r="E413" s="451"/>
      <c r="F413" s="451"/>
    </row>
    <row r="414">
      <c r="E414" s="451"/>
      <c r="F414" s="451"/>
    </row>
    <row r="415">
      <c r="E415" s="451"/>
      <c r="F415" s="451"/>
    </row>
    <row r="416">
      <c r="E416" s="451"/>
      <c r="F416" s="451"/>
    </row>
    <row r="417">
      <c r="E417" s="451"/>
      <c r="F417" s="451"/>
    </row>
    <row r="418">
      <c r="E418" s="451"/>
      <c r="F418" s="451"/>
    </row>
    <row r="419">
      <c r="E419" s="451"/>
      <c r="F419" s="451"/>
    </row>
    <row r="420">
      <c r="E420" s="451"/>
      <c r="F420" s="451"/>
    </row>
    <row r="421">
      <c r="E421" s="451"/>
      <c r="F421" s="451"/>
    </row>
    <row r="422">
      <c r="E422" s="451"/>
      <c r="F422" s="451"/>
    </row>
    <row r="423">
      <c r="E423" s="451"/>
      <c r="F423" s="451"/>
    </row>
    <row r="424">
      <c r="E424" s="451"/>
      <c r="F424" s="451"/>
    </row>
    <row r="425">
      <c r="E425" s="451"/>
      <c r="F425" s="451"/>
    </row>
    <row r="426">
      <c r="E426" s="451"/>
      <c r="F426" s="451"/>
    </row>
    <row r="427">
      <c r="E427" s="451"/>
      <c r="F427" s="451"/>
    </row>
    <row r="428">
      <c r="E428" s="451"/>
      <c r="F428" s="451"/>
    </row>
    <row r="429">
      <c r="E429" s="451"/>
      <c r="F429" s="451"/>
    </row>
    <row r="430">
      <c r="E430" s="451"/>
      <c r="F430" s="451"/>
    </row>
    <row r="431">
      <c r="E431" s="451"/>
      <c r="F431" s="451"/>
    </row>
    <row r="432">
      <c r="E432" s="451"/>
      <c r="F432" s="451"/>
    </row>
    <row r="433">
      <c r="E433" s="451"/>
      <c r="F433" s="451"/>
    </row>
    <row r="434">
      <c r="E434" s="451"/>
      <c r="F434" s="451"/>
    </row>
    <row r="435">
      <c r="E435" s="451"/>
      <c r="F435" s="451"/>
    </row>
    <row r="436">
      <c r="E436" s="451"/>
      <c r="F436" s="451"/>
    </row>
    <row r="437">
      <c r="E437" s="451"/>
      <c r="F437" s="451"/>
    </row>
    <row r="438">
      <c r="E438" s="451"/>
      <c r="F438" s="451"/>
    </row>
    <row r="439">
      <c r="E439" s="451"/>
      <c r="F439" s="451"/>
    </row>
    <row r="440">
      <c r="E440" s="451"/>
      <c r="F440" s="451"/>
    </row>
    <row r="441">
      <c r="E441" s="451"/>
      <c r="F441" s="451"/>
    </row>
    <row r="442">
      <c r="E442" s="451"/>
      <c r="F442" s="451"/>
    </row>
    <row r="443">
      <c r="E443" s="451"/>
      <c r="F443" s="451"/>
    </row>
    <row r="444">
      <c r="E444" s="451"/>
      <c r="F444" s="451"/>
    </row>
    <row r="445">
      <c r="E445" s="451"/>
      <c r="F445" s="451"/>
    </row>
    <row r="446">
      <c r="E446" s="451"/>
      <c r="F446" s="451"/>
    </row>
    <row r="447">
      <c r="E447" s="451"/>
      <c r="F447" s="451"/>
    </row>
    <row r="448">
      <c r="E448" s="451"/>
      <c r="F448" s="451"/>
    </row>
    <row r="449">
      <c r="E449" s="451"/>
      <c r="F449" s="451"/>
    </row>
    <row r="450">
      <c r="E450" s="451"/>
      <c r="F450" s="451"/>
    </row>
    <row r="451">
      <c r="E451" s="451"/>
      <c r="F451" s="451"/>
    </row>
    <row r="452">
      <c r="E452" s="451"/>
      <c r="F452" s="451"/>
    </row>
    <row r="453">
      <c r="E453" s="451"/>
      <c r="F453" s="451"/>
    </row>
    <row r="454">
      <c r="E454" s="451"/>
      <c r="F454" s="451"/>
    </row>
    <row r="455">
      <c r="E455" s="451"/>
      <c r="F455" s="451"/>
    </row>
    <row r="456">
      <c r="E456" s="451"/>
      <c r="F456" s="451"/>
    </row>
    <row r="457">
      <c r="E457" s="451"/>
      <c r="F457" s="451"/>
    </row>
    <row r="458">
      <c r="E458" s="451"/>
      <c r="F458" s="451"/>
    </row>
    <row r="459">
      <c r="E459" s="451"/>
      <c r="F459" s="451"/>
    </row>
    <row r="460">
      <c r="E460" s="451"/>
      <c r="F460" s="451"/>
    </row>
    <row r="461">
      <c r="E461" s="451"/>
      <c r="F461" s="451"/>
    </row>
    <row r="462">
      <c r="E462" s="451"/>
      <c r="F462" s="451"/>
    </row>
    <row r="463">
      <c r="E463" s="451"/>
      <c r="F463" s="451"/>
    </row>
    <row r="464">
      <c r="E464" s="451"/>
      <c r="F464" s="451"/>
    </row>
    <row r="465">
      <c r="E465" s="451"/>
      <c r="F465" s="451"/>
    </row>
    <row r="466">
      <c r="E466" s="451"/>
      <c r="F466" s="451"/>
    </row>
    <row r="467">
      <c r="E467" s="451"/>
      <c r="F467" s="451"/>
    </row>
    <row r="468">
      <c r="E468" s="451"/>
      <c r="F468" s="451"/>
    </row>
    <row r="469">
      <c r="E469" s="451"/>
      <c r="F469" s="451"/>
    </row>
    <row r="470">
      <c r="E470" s="451"/>
      <c r="F470" s="451"/>
    </row>
    <row r="471">
      <c r="E471" s="451"/>
      <c r="F471" s="451"/>
    </row>
    <row r="472">
      <c r="E472" s="451"/>
      <c r="F472" s="451"/>
    </row>
    <row r="473">
      <c r="E473" s="451"/>
      <c r="F473" s="451"/>
    </row>
    <row r="474">
      <c r="E474" s="451"/>
      <c r="F474" s="451"/>
    </row>
    <row r="475">
      <c r="E475" s="451"/>
      <c r="F475" s="451"/>
    </row>
    <row r="476">
      <c r="E476" s="451"/>
      <c r="F476" s="451"/>
    </row>
    <row r="477">
      <c r="E477" s="451"/>
      <c r="F477" s="451"/>
    </row>
    <row r="478">
      <c r="E478" s="451"/>
      <c r="F478" s="451"/>
    </row>
    <row r="479">
      <c r="E479" s="451"/>
      <c r="F479" s="451"/>
    </row>
    <row r="480">
      <c r="E480" s="451"/>
      <c r="F480" s="451"/>
    </row>
    <row r="481">
      <c r="E481" s="451"/>
      <c r="F481" s="451"/>
    </row>
    <row r="482">
      <c r="E482" s="451"/>
      <c r="F482" s="451"/>
    </row>
    <row r="483">
      <c r="E483" s="451"/>
      <c r="F483" s="451"/>
    </row>
    <row r="484">
      <c r="E484" s="451"/>
      <c r="F484" s="451"/>
    </row>
    <row r="485">
      <c r="E485" s="451"/>
      <c r="F485" s="451"/>
    </row>
    <row r="486">
      <c r="E486" s="451"/>
      <c r="F486" s="451"/>
    </row>
    <row r="487">
      <c r="E487" s="451"/>
      <c r="F487" s="451"/>
    </row>
    <row r="488">
      <c r="E488" s="451"/>
      <c r="F488" s="451"/>
    </row>
    <row r="489">
      <c r="E489" s="451"/>
      <c r="F489" s="451"/>
    </row>
    <row r="490">
      <c r="E490" s="451"/>
      <c r="F490" s="451"/>
    </row>
    <row r="491">
      <c r="E491" s="451"/>
      <c r="F491" s="451"/>
    </row>
    <row r="492">
      <c r="E492" s="451"/>
      <c r="F492" s="451"/>
    </row>
    <row r="493">
      <c r="E493" s="451"/>
      <c r="F493" s="451"/>
    </row>
    <row r="494">
      <c r="E494" s="451"/>
      <c r="F494" s="451"/>
    </row>
    <row r="495">
      <c r="E495" s="451"/>
      <c r="F495" s="451"/>
    </row>
    <row r="496">
      <c r="E496" s="451"/>
      <c r="F496" s="451"/>
    </row>
    <row r="497">
      <c r="E497" s="451"/>
      <c r="F497" s="451"/>
    </row>
    <row r="498">
      <c r="E498" s="451"/>
      <c r="F498" s="451"/>
    </row>
    <row r="499">
      <c r="E499" s="451"/>
      <c r="F499" s="451"/>
    </row>
    <row r="500">
      <c r="E500" s="451"/>
      <c r="F500" s="451"/>
    </row>
    <row r="501">
      <c r="E501" s="451"/>
      <c r="F501" s="451"/>
    </row>
    <row r="502">
      <c r="E502" s="451"/>
      <c r="F502" s="451"/>
    </row>
    <row r="503">
      <c r="E503" s="451"/>
      <c r="F503" s="451"/>
    </row>
    <row r="504">
      <c r="E504" s="451"/>
      <c r="F504" s="451"/>
    </row>
    <row r="505">
      <c r="E505" s="451"/>
      <c r="F505" s="451"/>
    </row>
    <row r="506">
      <c r="E506" s="451"/>
      <c r="F506" s="451"/>
    </row>
    <row r="507">
      <c r="E507" s="451"/>
      <c r="F507" s="451"/>
    </row>
    <row r="508">
      <c r="E508" s="451"/>
      <c r="F508" s="451"/>
    </row>
    <row r="509">
      <c r="E509" s="451"/>
      <c r="F509" s="451"/>
    </row>
    <row r="510">
      <c r="E510" s="451"/>
      <c r="F510" s="451"/>
    </row>
    <row r="511">
      <c r="E511" s="451"/>
      <c r="F511" s="451"/>
    </row>
    <row r="512">
      <c r="E512" s="451"/>
      <c r="F512" s="451"/>
    </row>
    <row r="513">
      <c r="E513" s="451"/>
      <c r="F513" s="451"/>
    </row>
    <row r="514">
      <c r="E514" s="451"/>
      <c r="F514" s="451"/>
    </row>
    <row r="515">
      <c r="E515" s="451"/>
      <c r="F515" s="451"/>
    </row>
    <row r="516">
      <c r="E516" s="451"/>
      <c r="F516" s="451"/>
    </row>
    <row r="517">
      <c r="E517" s="451"/>
      <c r="F517" s="451"/>
    </row>
    <row r="518">
      <c r="E518" s="451"/>
      <c r="F518" s="451"/>
    </row>
    <row r="519">
      <c r="E519" s="451"/>
      <c r="F519" s="451"/>
    </row>
    <row r="520">
      <c r="E520" s="451"/>
      <c r="F520" s="451"/>
    </row>
    <row r="521">
      <c r="E521" s="451"/>
      <c r="F521" s="451"/>
    </row>
    <row r="522">
      <c r="E522" s="451"/>
      <c r="F522" s="451"/>
    </row>
    <row r="523">
      <c r="E523" s="451"/>
      <c r="F523" s="451"/>
    </row>
    <row r="524">
      <c r="E524" s="451"/>
      <c r="F524" s="451"/>
    </row>
    <row r="525">
      <c r="E525" s="451"/>
      <c r="F525" s="451"/>
    </row>
    <row r="526">
      <c r="E526" s="451"/>
      <c r="F526" s="451"/>
    </row>
    <row r="527">
      <c r="E527" s="451"/>
      <c r="F527" s="451"/>
    </row>
    <row r="528">
      <c r="E528" s="451"/>
      <c r="F528" s="451"/>
    </row>
    <row r="529">
      <c r="E529" s="451"/>
      <c r="F529" s="451"/>
    </row>
    <row r="530">
      <c r="E530" s="451"/>
      <c r="F530" s="451"/>
    </row>
    <row r="531">
      <c r="E531" s="451"/>
      <c r="F531" s="451"/>
    </row>
    <row r="532">
      <c r="E532" s="451"/>
      <c r="F532" s="451"/>
    </row>
    <row r="533">
      <c r="E533" s="451"/>
      <c r="F533" s="451"/>
    </row>
    <row r="534">
      <c r="E534" s="451"/>
      <c r="F534" s="451"/>
    </row>
    <row r="535">
      <c r="E535" s="451"/>
      <c r="F535" s="451"/>
    </row>
    <row r="536">
      <c r="E536" s="451"/>
      <c r="F536" s="451"/>
    </row>
    <row r="537">
      <c r="E537" s="451"/>
      <c r="F537" s="451"/>
    </row>
    <row r="538">
      <c r="E538" s="451"/>
      <c r="F538" s="451"/>
    </row>
    <row r="539">
      <c r="E539" s="451"/>
      <c r="F539" s="451"/>
    </row>
    <row r="540">
      <c r="E540" s="451"/>
      <c r="F540" s="451"/>
    </row>
    <row r="541">
      <c r="E541" s="451"/>
      <c r="F541" s="451"/>
    </row>
    <row r="542">
      <c r="E542" s="451"/>
      <c r="F542" s="451"/>
    </row>
    <row r="543">
      <c r="E543" s="451"/>
      <c r="F543" s="451"/>
    </row>
    <row r="544">
      <c r="E544" s="451"/>
      <c r="F544" s="451"/>
    </row>
    <row r="545">
      <c r="E545" s="451"/>
      <c r="F545" s="451"/>
    </row>
    <row r="546">
      <c r="E546" s="451"/>
      <c r="F546" s="451"/>
    </row>
    <row r="547">
      <c r="E547" s="451"/>
      <c r="F547" s="451"/>
    </row>
    <row r="548">
      <c r="E548" s="451"/>
      <c r="F548" s="451"/>
    </row>
    <row r="549">
      <c r="E549" s="451"/>
      <c r="F549" s="451"/>
    </row>
    <row r="550">
      <c r="E550" s="451"/>
      <c r="F550" s="451"/>
    </row>
    <row r="551">
      <c r="E551" s="451"/>
      <c r="F551" s="451"/>
    </row>
    <row r="552">
      <c r="E552" s="451"/>
      <c r="F552" s="451"/>
    </row>
    <row r="553">
      <c r="E553" s="451"/>
      <c r="F553" s="451"/>
    </row>
    <row r="554">
      <c r="E554" s="451"/>
      <c r="F554" s="451"/>
    </row>
    <row r="555">
      <c r="E555" s="451"/>
      <c r="F555" s="451"/>
    </row>
    <row r="556">
      <c r="E556" s="451"/>
      <c r="F556" s="451"/>
    </row>
    <row r="557">
      <c r="E557" s="451"/>
      <c r="F557" s="451"/>
    </row>
    <row r="558">
      <c r="E558" s="451"/>
      <c r="F558" s="451"/>
    </row>
    <row r="559">
      <c r="E559" s="451"/>
      <c r="F559" s="451"/>
    </row>
    <row r="560">
      <c r="E560" s="451"/>
      <c r="F560" s="451"/>
    </row>
    <row r="561">
      <c r="E561" s="451"/>
      <c r="F561" s="451"/>
    </row>
    <row r="562">
      <c r="E562" s="451"/>
      <c r="F562" s="451"/>
    </row>
    <row r="563">
      <c r="E563" s="451"/>
      <c r="F563" s="451"/>
    </row>
    <row r="564">
      <c r="E564" s="451"/>
      <c r="F564" s="451"/>
    </row>
    <row r="565">
      <c r="E565" s="451"/>
      <c r="F565" s="451"/>
    </row>
    <row r="566">
      <c r="E566" s="451"/>
      <c r="F566" s="451"/>
    </row>
    <row r="567">
      <c r="E567" s="451"/>
      <c r="F567" s="451"/>
    </row>
    <row r="568">
      <c r="E568" s="451"/>
      <c r="F568" s="451"/>
    </row>
    <row r="569">
      <c r="E569" s="451"/>
      <c r="F569" s="451"/>
    </row>
    <row r="570">
      <c r="E570" s="451"/>
      <c r="F570" s="451"/>
    </row>
    <row r="571">
      <c r="E571" s="451"/>
      <c r="F571" s="451"/>
    </row>
    <row r="572">
      <c r="E572" s="451"/>
      <c r="F572" s="451"/>
    </row>
    <row r="573">
      <c r="E573" s="451"/>
      <c r="F573" s="451"/>
    </row>
    <row r="574">
      <c r="E574" s="451"/>
      <c r="F574" s="451"/>
    </row>
    <row r="575">
      <c r="E575" s="451"/>
      <c r="F575" s="451"/>
    </row>
    <row r="576">
      <c r="E576" s="451"/>
      <c r="F576" s="451"/>
    </row>
    <row r="577">
      <c r="E577" s="451"/>
      <c r="F577" s="451"/>
    </row>
    <row r="578">
      <c r="E578" s="451"/>
      <c r="F578" s="451"/>
    </row>
    <row r="579">
      <c r="E579" s="451"/>
      <c r="F579" s="451"/>
    </row>
    <row r="580">
      <c r="E580" s="451"/>
      <c r="F580" s="451"/>
    </row>
    <row r="581">
      <c r="E581" s="451"/>
      <c r="F581" s="451"/>
    </row>
    <row r="582">
      <c r="E582" s="451"/>
      <c r="F582" s="451"/>
    </row>
    <row r="583">
      <c r="E583" s="451"/>
      <c r="F583" s="451"/>
    </row>
    <row r="584">
      <c r="E584" s="451"/>
      <c r="F584" s="451"/>
    </row>
    <row r="585">
      <c r="E585" s="451"/>
      <c r="F585" s="451"/>
    </row>
    <row r="586">
      <c r="E586" s="451"/>
      <c r="F586" s="451"/>
    </row>
    <row r="587">
      <c r="E587" s="451"/>
      <c r="F587" s="451"/>
    </row>
    <row r="588">
      <c r="E588" s="451"/>
      <c r="F588" s="451"/>
    </row>
    <row r="589">
      <c r="E589" s="451"/>
      <c r="F589" s="451"/>
    </row>
    <row r="590">
      <c r="E590" s="451"/>
      <c r="F590" s="451"/>
    </row>
    <row r="591">
      <c r="E591" s="451"/>
      <c r="F591" s="451"/>
    </row>
    <row r="592">
      <c r="E592" s="451"/>
      <c r="F592" s="451"/>
    </row>
    <row r="593">
      <c r="E593" s="451"/>
      <c r="F593" s="451"/>
    </row>
    <row r="594">
      <c r="E594" s="451"/>
      <c r="F594" s="451"/>
    </row>
    <row r="595">
      <c r="E595" s="451"/>
      <c r="F595" s="451"/>
    </row>
    <row r="596">
      <c r="E596" s="451"/>
      <c r="F596" s="451"/>
    </row>
    <row r="597">
      <c r="E597" s="451"/>
      <c r="F597" s="451"/>
    </row>
    <row r="598">
      <c r="E598" s="451"/>
      <c r="F598" s="451"/>
    </row>
    <row r="599">
      <c r="E599" s="451"/>
      <c r="F599" s="451"/>
    </row>
    <row r="600">
      <c r="E600" s="451"/>
      <c r="F600" s="451"/>
    </row>
    <row r="601">
      <c r="E601" s="451"/>
      <c r="F601" s="451"/>
    </row>
    <row r="602">
      <c r="E602" s="451"/>
      <c r="F602" s="451"/>
    </row>
    <row r="603">
      <c r="E603" s="451"/>
      <c r="F603" s="451"/>
    </row>
    <row r="604">
      <c r="E604" s="451"/>
      <c r="F604" s="451"/>
    </row>
    <row r="605">
      <c r="E605" s="451"/>
      <c r="F605" s="451"/>
    </row>
    <row r="606">
      <c r="E606" s="451"/>
      <c r="F606" s="451"/>
    </row>
    <row r="607">
      <c r="E607" s="451"/>
      <c r="F607" s="451"/>
    </row>
    <row r="608">
      <c r="E608" s="451"/>
      <c r="F608" s="451"/>
    </row>
    <row r="609">
      <c r="E609" s="451"/>
      <c r="F609" s="451"/>
    </row>
    <row r="610">
      <c r="E610" s="451"/>
      <c r="F610" s="451"/>
    </row>
    <row r="611">
      <c r="E611" s="451"/>
      <c r="F611" s="451"/>
    </row>
    <row r="612">
      <c r="E612" s="451"/>
      <c r="F612" s="451"/>
    </row>
    <row r="613">
      <c r="E613" s="451"/>
      <c r="F613" s="451"/>
    </row>
    <row r="614">
      <c r="E614" s="451"/>
      <c r="F614" s="451"/>
    </row>
    <row r="615">
      <c r="E615" s="451"/>
      <c r="F615" s="451"/>
    </row>
    <row r="616">
      <c r="E616" s="451"/>
      <c r="F616" s="451"/>
    </row>
    <row r="617">
      <c r="E617" s="451"/>
      <c r="F617" s="451"/>
    </row>
    <row r="618">
      <c r="E618" s="451"/>
      <c r="F618" s="451"/>
    </row>
    <row r="619">
      <c r="E619" s="451"/>
      <c r="F619" s="451"/>
    </row>
    <row r="620">
      <c r="E620" s="451"/>
      <c r="F620" s="451"/>
    </row>
    <row r="621">
      <c r="E621" s="451"/>
      <c r="F621" s="451"/>
    </row>
    <row r="622">
      <c r="E622" s="451"/>
      <c r="F622" s="451"/>
    </row>
    <row r="623">
      <c r="E623" s="451"/>
      <c r="F623" s="451"/>
    </row>
    <row r="624">
      <c r="E624" s="451"/>
      <c r="F624" s="451"/>
    </row>
    <row r="625">
      <c r="E625" s="451"/>
      <c r="F625" s="451"/>
    </row>
    <row r="626">
      <c r="E626" s="451"/>
      <c r="F626" s="451"/>
    </row>
    <row r="627">
      <c r="E627" s="451"/>
      <c r="F627" s="451"/>
    </row>
    <row r="628">
      <c r="E628" s="451"/>
      <c r="F628" s="451"/>
    </row>
    <row r="629">
      <c r="E629" s="451"/>
      <c r="F629" s="451"/>
    </row>
    <row r="630">
      <c r="E630" s="451"/>
      <c r="F630" s="451"/>
    </row>
    <row r="631">
      <c r="E631" s="451"/>
      <c r="F631" s="451"/>
    </row>
    <row r="632">
      <c r="E632" s="451"/>
      <c r="F632" s="451"/>
    </row>
    <row r="633">
      <c r="E633" s="451"/>
      <c r="F633" s="451"/>
    </row>
    <row r="634">
      <c r="E634" s="451"/>
      <c r="F634" s="451"/>
    </row>
    <row r="635">
      <c r="E635" s="451"/>
      <c r="F635" s="451"/>
    </row>
    <row r="636">
      <c r="E636" s="451"/>
      <c r="F636" s="451"/>
    </row>
    <row r="637">
      <c r="E637" s="451"/>
      <c r="F637" s="451"/>
    </row>
    <row r="638">
      <c r="E638" s="451"/>
      <c r="F638" s="451"/>
    </row>
    <row r="639">
      <c r="E639" s="451"/>
      <c r="F639" s="451"/>
    </row>
    <row r="640">
      <c r="E640" s="451"/>
      <c r="F640" s="451"/>
    </row>
    <row r="641">
      <c r="E641" s="451"/>
      <c r="F641" s="451"/>
    </row>
    <row r="642">
      <c r="E642" s="451"/>
      <c r="F642" s="451"/>
    </row>
    <row r="643">
      <c r="E643" s="451"/>
      <c r="F643" s="451"/>
    </row>
    <row r="644">
      <c r="E644" s="451"/>
      <c r="F644" s="451"/>
    </row>
    <row r="645">
      <c r="E645" s="451"/>
      <c r="F645" s="451"/>
    </row>
    <row r="646">
      <c r="E646" s="451"/>
      <c r="F646" s="451"/>
    </row>
    <row r="647">
      <c r="E647" s="451"/>
      <c r="F647" s="451"/>
    </row>
    <row r="648">
      <c r="E648" s="451"/>
      <c r="F648" s="451"/>
    </row>
    <row r="649">
      <c r="E649" s="451"/>
      <c r="F649" s="451"/>
    </row>
    <row r="650">
      <c r="E650" s="451"/>
      <c r="F650" s="451"/>
    </row>
    <row r="651">
      <c r="E651" s="451"/>
      <c r="F651" s="451"/>
    </row>
    <row r="652">
      <c r="E652" s="451"/>
      <c r="F652" s="451"/>
    </row>
    <row r="653">
      <c r="E653" s="451"/>
      <c r="F653" s="451"/>
    </row>
    <row r="654">
      <c r="E654" s="451"/>
      <c r="F654" s="451"/>
    </row>
    <row r="655">
      <c r="E655" s="451"/>
      <c r="F655" s="451"/>
    </row>
    <row r="656">
      <c r="E656" s="451"/>
      <c r="F656" s="451"/>
    </row>
    <row r="657">
      <c r="E657" s="451"/>
      <c r="F657" s="451"/>
    </row>
    <row r="658">
      <c r="E658" s="451"/>
      <c r="F658" s="451"/>
    </row>
    <row r="659">
      <c r="E659" s="451"/>
      <c r="F659" s="451"/>
    </row>
    <row r="660">
      <c r="E660" s="451"/>
      <c r="F660" s="451"/>
    </row>
    <row r="661">
      <c r="E661" s="451"/>
      <c r="F661" s="451"/>
    </row>
    <row r="662">
      <c r="E662" s="451"/>
      <c r="F662" s="451"/>
    </row>
    <row r="663">
      <c r="E663" s="451"/>
      <c r="F663" s="451"/>
    </row>
    <row r="664">
      <c r="E664" s="451"/>
      <c r="F664" s="451"/>
    </row>
    <row r="665">
      <c r="E665" s="451"/>
      <c r="F665" s="451"/>
    </row>
    <row r="666">
      <c r="E666" s="451"/>
      <c r="F666" s="451"/>
    </row>
    <row r="667">
      <c r="E667" s="451"/>
      <c r="F667" s="451"/>
    </row>
    <row r="668">
      <c r="E668" s="451"/>
      <c r="F668" s="451"/>
    </row>
    <row r="669">
      <c r="E669" s="451"/>
      <c r="F669" s="451"/>
    </row>
    <row r="670">
      <c r="E670" s="451"/>
      <c r="F670" s="451"/>
    </row>
    <row r="671">
      <c r="E671" s="451"/>
      <c r="F671" s="451"/>
    </row>
    <row r="672">
      <c r="E672" s="451"/>
      <c r="F672" s="451"/>
    </row>
    <row r="673">
      <c r="E673" s="451"/>
      <c r="F673" s="451"/>
    </row>
    <row r="674">
      <c r="E674" s="451"/>
      <c r="F674" s="451"/>
    </row>
    <row r="675">
      <c r="E675" s="451"/>
      <c r="F675" s="451"/>
    </row>
    <row r="676">
      <c r="E676" s="451"/>
      <c r="F676" s="451"/>
    </row>
    <row r="677">
      <c r="E677" s="451"/>
      <c r="F677" s="451"/>
    </row>
    <row r="678">
      <c r="E678" s="451"/>
      <c r="F678" s="451"/>
    </row>
    <row r="679">
      <c r="E679" s="451"/>
      <c r="F679" s="451"/>
    </row>
    <row r="680">
      <c r="E680" s="451"/>
      <c r="F680" s="451"/>
    </row>
    <row r="681">
      <c r="E681" s="451"/>
      <c r="F681" s="451"/>
    </row>
    <row r="682">
      <c r="E682" s="451"/>
      <c r="F682" s="451"/>
    </row>
    <row r="683">
      <c r="E683" s="451"/>
      <c r="F683" s="451"/>
    </row>
    <row r="684">
      <c r="E684" s="451"/>
      <c r="F684" s="451"/>
    </row>
    <row r="685">
      <c r="E685" s="451"/>
      <c r="F685" s="451"/>
    </row>
    <row r="686">
      <c r="E686" s="451"/>
      <c r="F686" s="451"/>
    </row>
    <row r="687">
      <c r="E687" s="451"/>
      <c r="F687" s="451"/>
    </row>
    <row r="688">
      <c r="E688" s="451"/>
      <c r="F688" s="451"/>
    </row>
    <row r="689">
      <c r="E689" s="451"/>
      <c r="F689" s="451"/>
    </row>
    <row r="690">
      <c r="E690" s="451"/>
      <c r="F690" s="451"/>
    </row>
    <row r="691">
      <c r="E691" s="451"/>
      <c r="F691" s="451"/>
    </row>
    <row r="692">
      <c r="E692" s="451"/>
      <c r="F692" s="451"/>
    </row>
    <row r="693">
      <c r="E693" s="451"/>
      <c r="F693" s="451"/>
    </row>
    <row r="694">
      <c r="E694" s="451"/>
      <c r="F694" s="451"/>
    </row>
    <row r="695">
      <c r="E695" s="451"/>
      <c r="F695" s="451"/>
    </row>
    <row r="696">
      <c r="E696" s="451"/>
      <c r="F696" s="451"/>
    </row>
    <row r="697">
      <c r="E697" s="451"/>
      <c r="F697" s="451"/>
    </row>
    <row r="698">
      <c r="E698" s="451"/>
      <c r="F698" s="451"/>
    </row>
    <row r="699">
      <c r="E699" s="451"/>
      <c r="F699" s="451"/>
    </row>
    <row r="700">
      <c r="E700" s="451"/>
      <c r="F700" s="451"/>
    </row>
    <row r="701">
      <c r="E701" s="451"/>
      <c r="F701" s="451"/>
    </row>
    <row r="702">
      <c r="E702" s="451"/>
      <c r="F702" s="451"/>
    </row>
    <row r="703">
      <c r="E703" s="451"/>
      <c r="F703" s="451"/>
    </row>
    <row r="704">
      <c r="E704" s="451"/>
      <c r="F704" s="451"/>
    </row>
    <row r="705">
      <c r="E705" s="451"/>
      <c r="F705" s="451"/>
    </row>
    <row r="706">
      <c r="E706" s="451"/>
      <c r="F706" s="451"/>
    </row>
    <row r="707">
      <c r="E707" s="451"/>
      <c r="F707" s="451"/>
    </row>
    <row r="708">
      <c r="E708" s="451"/>
      <c r="F708" s="451"/>
    </row>
    <row r="709">
      <c r="E709" s="451"/>
      <c r="F709" s="451"/>
    </row>
    <row r="710">
      <c r="E710" s="451"/>
      <c r="F710" s="451"/>
    </row>
    <row r="711">
      <c r="E711" s="451"/>
      <c r="F711" s="451"/>
    </row>
    <row r="712">
      <c r="E712" s="451"/>
      <c r="F712" s="451"/>
    </row>
    <row r="713">
      <c r="E713" s="451"/>
      <c r="F713" s="451"/>
    </row>
    <row r="714">
      <c r="E714" s="451"/>
      <c r="F714" s="451"/>
    </row>
    <row r="715">
      <c r="E715" s="451"/>
      <c r="F715" s="451"/>
    </row>
    <row r="716">
      <c r="E716" s="451"/>
      <c r="F716" s="451"/>
    </row>
    <row r="717">
      <c r="E717" s="451"/>
      <c r="F717" s="451"/>
    </row>
    <row r="718">
      <c r="E718" s="451"/>
      <c r="F718" s="451"/>
    </row>
    <row r="719">
      <c r="E719" s="451"/>
      <c r="F719" s="451"/>
    </row>
    <row r="720">
      <c r="E720" s="451"/>
      <c r="F720" s="451"/>
    </row>
    <row r="721">
      <c r="E721" s="451"/>
      <c r="F721" s="451"/>
    </row>
    <row r="722">
      <c r="E722" s="451"/>
      <c r="F722" s="451"/>
    </row>
    <row r="723">
      <c r="E723" s="451"/>
      <c r="F723" s="451"/>
    </row>
    <row r="724">
      <c r="E724" s="451"/>
      <c r="F724" s="451"/>
    </row>
    <row r="725">
      <c r="E725" s="451"/>
      <c r="F725" s="451"/>
    </row>
    <row r="726">
      <c r="E726" s="451"/>
      <c r="F726" s="451"/>
    </row>
    <row r="727">
      <c r="E727" s="451"/>
      <c r="F727" s="451"/>
    </row>
    <row r="728">
      <c r="E728" s="451"/>
      <c r="F728" s="451"/>
    </row>
    <row r="729">
      <c r="E729" s="451"/>
      <c r="F729" s="451"/>
    </row>
    <row r="730">
      <c r="E730" s="451"/>
      <c r="F730" s="451"/>
    </row>
    <row r="731">
      <c r="E731" s="451"/>
      <c r="F731" s="451"/>
    </row>
    <row r="732">
      <c r="E732" s="451"/>
      <c r="F732" s="451"/>
    </row>
    <row r="733">
      <c r="E733" s="451"/>
      <c r="F733" s="451"/>
    </row>
    <row r="734">
      <c r="E734" s="451"/>
      <c r="F734" s="451"/>
    </row>
    <row r="735">
      <c r="E735" s="451"/>
      <c r="F735" s="451"/>
    </row>
    <row r="736">
      <c r="E736" s="451"/>
      <c r="F736" s="451"/>
    </row>
    <row r="737">
      <c r="E737" s="451"/>
      <c r="F737" s="451"/>
    </row>
    <row r="738">
      <c r="E738" s="451"/>
      <c r="F738" s="451"/>
    </row>
    <row r="739">
      <c r="E739" s="451"/>
      <c r="F739" s="451"/>
    </row>
    <row r="740">
      <c r="E740" s="451"/>
      <c r="F740" s="451"/>
    </row>
    <row r="741">
      <c r="E741" s="451"/>
      <c r="F741" s="451"/>
    </row>
    <row r="742">
      <c r="E742" s="451"/>
      <c r="F742" s="451"/>
    </row>
    <row r="743">
      <c r="E743" s="451"/>
      <c r="F743" s="451"/>
    </row>
    <row r="744">
      <c r="E744" s="451"/>
      <c r="F744" s="451"/>
    </row>
    <row r="745">
      <c r="E745" s="451"/>
      <c r="F745" s="451"/>
    </row>
    <row r="746">
      <c r="E746" s="451"/>
      <c r="F746" s="451"/>
    </row>
    <row r="747">
      <c r="E747" s="451"/>
      <c r="F747" s="451"/>
    </row>
    <row r="748">
      <c r="E748" s="451"/>
      <c r="F748" s="451"/>
    </row>
    <row r="749">
      <c r="E749" s="451"/>
      <c r="F749" s="451"/>
    </row>
    <row r="750">
      <c r="E750" s="451"/>
      <c r="F750" s="451"/>
    </row>
    <row r="751">
      <c r="E751" s="451"/>
      <c r="F751" s="451"/>
    </row>
    <row r="752">
      <c r="E752" s="451"/>
      <c r="F752" s="451"/>
    </row>
    <row r="753">
      <c r="E753" s="451"/>
      <c r="F753" s="451"/>
    </row>
    <row r="754">
      <c r="E754" s="451"/>
      <c r="F754" s="451"/>
    </row>
    <row r="755">
      <c r="E755" s="451"/>
      <c r="F755" s="451"/>
    </row>
    <row r="756">
      <c r="E756" s="451"/>
      <c r="F756" s="451"/>
    </row>
    <row r="757">
      <c r="E757" s="451"/>
      <c r="F757" s="451"/>
    </row>
    <row r="758">
      <c r="E758" s="451"/>
      <c r="F758" s="451"/>
    </row>
    <row r="759">
      <c r="E759" s="451"/>
      <c r="F759" s="451"/>
    </row>
    <row r="760">
      <c r="E760" s="451"/>
      <c r="F760" s="451"/>
    </row>
    <row r="761">
      <c r="E761" s="451"/>
      <c r="F761" s="451"/>
    </row>
    <row r="762">
      <c r="E762" s="451"/>
      <c r="F762" s="451"/>
    </row>
    <row r="763">
      <c r="E763" s="451"/>
      <c r="F763" s="451"/>
    </row>
    <row r="764">
      <c r="E764" s="451"/>
      <c r="F764" s="451"/>
    </row>
    <row r="765">
      <c r="E765" s="451"/>
      <c r="F765" s="451"/>
    </row>
    <row r="766">
      <c r="E766" s="451"/>
      <c r="F766" s="451"/>
    </row>
    <row r="767">
      <c r="E767" s="451"/>
      <c r="F767" s="451"/>
    </row>
    <row r="768">
      <c r="E768" s="451"/>
      <c r="F768" s="451"/>
    </row>
    <row r="769">
      <c r="E769" s="451"/>
      <c r="F769" s="451"/>
    </row>
    <row r="770">
      <c r="E770" s="451"/>
      <c r="F770" s="451"/>
    </row>
    <row r="771">
      <c r="E771" s="451"/>
      <c r="F771" s="451"/>
    </row>
    <row r="772">
      <c r="E772" s="451"/>
      <c r="F772" s="451"/>
    </row>
    <row r="773">
      <c r="E773" s="451"/>
      <c r="F773" s="451"/>
    </row>
    <row r="774">
      <c r="E774" s="451"/>
      <c r="F774" s="451"/>
    </row>
    <row r="775">
      <c r="E775" s="451"/>
      <c r="F775" s="451"/>
    </row>
    <row r="776">
      <c r="E776" s="451"/>
      <c r="F776" s="451"/>
    </row>
    <row r="777">
      <c r="E777" s="451"/>
      <c r="F777" s="451"/>
    </row>
    <row r="778">
      <c r="E778" s="451"/>
      <c r="F778" s="451"/>
    </row>
    <row r="779">
      <c r="E779" s="451"/>
      <c r="F779" s="451"/>
    </row>
    <row r="780">
      <c r="E780" s="451"/>
      <c r="F780" s="451"/>
    </row>
    <row r="781">
      <c r="E781" s="451"/>
      <c r="F781" s="451"/>
    </row>
    <row r="782">
      <c r="E782" s="451"/>
      <c r="F782" s="451"/>
    </row>
    <row r="783">
      <c r="E783" s="451"/>
      <c r="F783" s="451"/>
    </row>
    <row r="784">
      <c r="E784" s="451"/>
      <c r="F784" s="451"/>
    </row>
    <row r="785">
      <c r="E785" s="451"/>
      <c r="F785" s="451"/>
    </row>
    <row r="786">
      <c r="E786" s="451"/>
      <c r="F786" s="451"/>
    </row>
    <row r="787">
      <c r="E787" s="451"/>
      <c r="F787" s="451"/>
    </row>
    <row r="788">
      <c r="E788" s="451"/>
      <c r="F788" s="451"/>
    </row>
    <row r="789">
      <c r="E789" s="451"/>
      <c r="F789" s="451"/>
    </row>
    <row r="790">
      <c r="E790" s="451"/>
      <c r="F790" s="451"/>
    </row>
    <row r="791">
      <c r="E791" s="451"/>
      <c r="F791" s="451"/>
    </row>
    <row r="792">
      <c r="E792" s="451"/>
      <c r="F792" s="451"/>
    </row>
    <row r="793">
      <c r="E793" s="451"/>
      <c r="F793" s="451"/>
    </row>
    <row r="794">
      <c r="E794" s="451"/>
      <c r="F794" s="451"/>
    </row>
    <row r="795">
      <c r="E795" s="451"/>
      <c r="F795" s="451"/>
    </row>
    <row r="796">
      <c r="E796" s="451"/>
      <c r="F796" s="451"/>
    </row>
    <row r="797">
      <c r="E797" s="451"/>
      <c r="F797" s="451"/>
    </row>
    <row r="798">
      <c r="E798" s="451"/>
      <c r="F798" s="451"/>
    </row>
    <row r="799">
      <c r="E799" s="451"/>
      <c r="F799" s="451"/>
    </row>
    <row r="800">
      <c r="E800" s="451"/>
      <c r="F800" s="451"/>
    </row>
    <row r="801">
      <c r="E801" s="451"/>
      <c r="F801" s="451"/>
    </row>
    <row r="802">
      <c r="E802" s="451"/>
      <c r="F802" s="451"/>
    </row>
    <row r="803">
      <c r="E803" s="451"/>
      <c r="F803" s="451"/>
    </row>
    <row r="804">
      <c r="E804" s="451"/>
      <c r="F804" s="451"/>
    </row>
    <row r="805">
      <c r="E805" s="451"/>
      <c r="F805" s="451"/>
    </row>
    <row r="806">
      <c r="E806" s="451"/>
      <c r="F806" s="451"/>
    </row>
    <row r="807">
      <c r="E807" s="451"/>
      <c r="F807" s="451"/>
    </row>
    <row r="808">
      <c r="E808" s="451"/>
      <c r="F808" s="451"/>
    </row>
    <row r="809">
      <c r="E809" s="451"/>
      <c r="F809" s="451"/>
    </row>
    <row r="810">
      <c r="E810" s="451"/>
      <c r="F810" s="451"/>
    </row>
    <row r="811">
      <c r="E811" s="451"/>
      <c r="F811" s="451"/>
    </row>
    <row r="812">
      <c r="E812" s="451"/>
      <c r="F812" s="451"/>
    </row>
    <row r="813">
      <c r="E813" s="451"/>
      <c r="F813" s="451"/>
    </row>
    <row r="814">
      <c r="E814" s="451"/>
      <c r="F814" s="451"/>
    </row>
    <row r="815">
      <c r="E815" s="451"/>
      <c r="F815" s="451"/>
    </row>
    <row r="816">
      <c r="E816" s="451"/>
      <c r="F816" s="451"/>
    </row>
    <row r="817">
      <c r="E817" s="451"/>
      <c r="F817" s="451"/>
    </row>
    <row r="818">
      <c r="E818" s="451"/>
      <c r="F818" s="451"/>
    </row>
    <row r="819">
      <c r="E819" s="451"/>
      <c r="F819" s="451"/>
    </row>
    <row r="820">
      <c r="E820" s="451"/>
      <c r="F820" s="451"/>
    </row>
    <row r="821">
      <c r="E821" s="451"/>
      <c r="F821" s="451"/>
    </row>
    <row r="822">
      <c r="E822" s="451"/>
      <c r="F822" s="451"/>
    </row>
    <row r="823">
      <c r="E823" s="451"/>
      <c r="F823" s="451"/>
    </row>
    <row r="824">
      <c r="E824" s="451"/>
      <c r="F824" s="451"/>
    </row>
    <row r="825">
      <c r="E825" s="451"/>
      <c r="F825" s="451"/>
    </row>
    <row r="826">
      <c r="E826" s="451"/>
      <c r="F826" s="451"/>
    </row>
    <row r="827">
      <c r="E827" s="451"/>
      <c r="F827" s="451"/>
    </row>
    <row r="828">
      <c r="E828" s="451"/>
      <c r="F828" s="451"/>
    </row>
    <row r="829">
      <c r="E829" s="451"/>
      <c r="F829" s="451"/>
    </row>
    <row r="830">
      <c r="E830" s="451"/>
      <c r="F830" s="451"/>
    </row>
    <row r="831">
      <c r="E831" s="451"/>
      <c r="F831" s="451"/>
    </row>
    <row r="832">
      <c r="E832" s="451"/>
      <c r="F832" s="451"/>
    </row>
    <row r="833">
      <c r="E833" s="451"/>
      <c r="F833" s="451"/>
    </row>
    <row r="834">
      <c r="E834" s="451"/>
      <c r="F834" s="451"/>
    </row>
    <row r="835">
      <c r="E835" s="451"/>
      <c r="F835" s="451"/>
    </row>
    <row r="836">
      <c r="E836" s="451"/>
      <c r="F836" s="451"/>
    </row>
    <row r="837">
      <c r="E837" s="451"/>
      <c r="F837" s="451"/>
    </row>
    <row r="838">
      <c r="E838" s="451"/>
      <c r="F838" s="451"/>
    </row>
    <row r="839">
      <c r="E839" s="451"/>
      <c r="F839" s="451"/>
    </row>
    <row r="840">
      <c r="E840" s="451"/>
      <c r="F840" s="451"/>
    </row>
    <row r="841">
      <c r="E841" s="451"/>
      <c r="F841" s="451"/>
    </row>
    <row r="842">
      <c r="E842" s="451"/>
      <c r="F842" s="451"/>
    </row>
    <row r="843">
      <c r="E843" s="451"/>
      <c r="F843" s="451"/>
    </row>
    <row r="844">
      <c r="E844" s="451"/>
      <c r="F844" s="451"/>
    </row>
    <row r="845">
      <c r="E845" s="451"/>
      <c r="F845" s="451"/>
    </row>
    <row r="846">
      <c r="E846" s="451"/>
      <c r="F846" s="451"/>
    </row>
    <row r="847">
      <c r="E847" s="451"/>
      <c r="F847" s="451"/>
    </row>
    <row r="848">
      <c r="E848" s="451"/>
      <c r="F848" s="451"/>
    </row>
    <row r="849">
      <c r="E849" s="451"/>
      <c r="F849" s="451"/>
    </row>
    <row r="850">
      <c r="E850" s="451"/>
      <c r="F850" s="451"/>
    </row>
    <row r="851">
      <c r="E851" s="451"/>
      <c r="F851" s="451"/>
    </row>
    <row r="852">
      <c r="E852" s="451"/>
      <c r="F852" s="451"/>
    </row>
    <row r="853">
      <c r="E853" s="451"/>
      <c r="F853" s="451"/>
    </row>
    <row r="854">
      <c r="E854" s="451"/>
      <c r="F854" s="451"/>
    </row>
    <row r="855">
      <c r="E855" s="451"/>
      <c r="F855" s="451"/>
    </row>
    <row r="856">
      <c r="E856" s="451"/>
      <c r="F856" s="451"/>
    </row>
    <row r="857">
      <c r="E857" s="451"/>
      <c r="F857" s="451"/>
    </row>
    <row r="858">
      <c r="E858" s="451"/>
      <c r="F858" s="451"/>
    </row>
    <row r="859">
      <c r="E859" s="451"/>
      <c r="F859" s="451"/>
    </row>
    <row r="860">
      <c r="E860" s="451"/>
      <c r="F860" s="451"/>
    </row>
    <row r="861">
      <c r="E861" s="451"/>
      <c r="F861" s="451"/>
    </row>
    <row r="862">
      <c r="E862" s="451"/>
      <c r="F862" s="451"/>
    </row>
    <row r="863">
      <c r="E863" s="451"/>
      <c r="F863" s="451"/>
    </row>
    <row r="864">
      <c r="E864" s="451"/>
      <c r="F864" s="451"/>
    </row>
    <row r="865">
      <c r="E865" s="451"/>
      <c r="F865" s="451"/>
    </row>
    <row r="866">
      <c r="E866" s="451"/>
      <c r="F866" s="451"/>
    </row>
    <row r="867">
      <c r="E867" s="451"/>
      <c r="F867" s="451"/>
    </row>
    <row r="868">
      <c r="E868" s="451"/>
      <c r="F868" s="451"/>
    </row>
    <row r="869">
      <c r="E869" s="451"/>
      <c r="F869" s="451"/>
    </row>
    <row r="870">
      <c r="E870" s="451"/>
      <c r="F870" s="451"/>
    </row>
    <row r="871">
      <c r="E871" s="451"/>
      <c r="F871" s="451"/>
    </row>
    <row r="872">
      <c r="E872" s="451"/>
      <c r="F872" s="451"/>
    </row>
    <row r="873">
      <c r="E873" s="451"/>
      <c r="F873" s="451"/>
    </row>
    <row r="874">
      <c r="E874" s="451"/>
      <c r="F874" s="451"/>
    </row>
    <row r="875">
      <c r="E875" s="451"/>
      <c r="F875" s="451"/>
    </row>
    <row r="876">
      <c r="E876" s="451"/>
      <c r="F876" s="451"/>
    </row>
    <row r="877">
      <c r="E877" s="451"/>
      <c r="F877" s="451"/>
    </row>
    <row r="878">
      <c r="E878" s="451"/>
      <c r="F878" s="451"/>
    </row>
    <row r="879">
      <c r="E879" s="451"/>
      <c r="F879" s="451"/>
    </row>
    <row r="880">
      <c r="E880" s="451"/>
      <c r="F880" s="451"/>
    </row>
    <row r="881">
      <c r="E881" s="451"/>
      <c r="F881" s="451"/>
    </row>
    <row r="882">
      <c r="E882" s="451"/>
      <c r="F882" s="451"/>
    </row>
    <row r="883">
      <c r="E883" s="451"/>
      <c r="F883" s="451"/>
    </row>
    <row r="884">
      <c r="E884" s="451"/>
      <c r="F884" s="451"/>
    </row>
    <row r="885">
      <c r="E885" s="451"/>
      <c r="F885" s="451"/>
    </row>
    <row r="886">
      <c r="E886" s="451"/>
      <c r="F886" s="451"/>
    </row>
    <row r="887">
      <c r="E887" s="451"/>
      <c r="F887" s="451"/>
    </row>
    <row r="888">
      <c r="E888" s="451"/>
      <c r="F888" s="451"/>
    </row>
    <row r="889">
      <c r="E889" s="451"/>
      <c r="F889" s="451"/>
    </row>
    <row r="890">
      <c r="E890" s="451"/>
      <c r="F890" s="451"/>
    </row>
    <row r="891">
      <c r="E891" s="451"/>
      <c r="F891" s="451"/>
    </row>
    <row r="892">
      <c r="E892" s="451"/>
      <c r="F892" s="451"/>
    </row>
    <row r="893">
      <c r="E893" s="451"/>
      <c r="F893" s="451"/>
    </row>
    <row r="894">
      <c r="E894" s="451"/>
      <c r="F894" s="451"/>
    </row>
    <row r="895">
      <c r="E895" s="451"/>
      <c r="F895" s="451"/>
    </row>
    <row r="896">
      <c r="E896" s="451"/>
      <c r="F896" s="451"/>
    </row>
    <row r="897">
      <c r="E897" s="451"/>
      <c r="F897" s="451"/>
    </row>
    <row r="898">
      <c r="E898" s="451"/>
      <c r="F898" s="451"/>
    </row>
    <row r="899">
      <c r="E899" s="451"/>
      <c r="F899" s="451"/>
    </row>
    <row r="900">
      <c r="E900" s="451"/>
      <c r="F900" s="451"/>
    </row>
    <row r="901">
      <c r="E901" s="451"/>
      <c r="F901" s="451"/>
    </row>
    <row r="902">
      <c r="E902" s="451"/>
      <c r="F902" s="451"/>
    </row>
    <row r="903">
      <c r="E903" s="451"/>
      <c r="F903" s="451"/>
    </row>
    <row r="904">
      <c r="E904" s="451"/>
      <c r="F904" s="451"/>
    </row>
    <row r="905">
      <c r="E905" s="451"/>
      <c r="F905" s="451"/>
    </row>
    <row r="906">
      <c r="E906" s="451"/>
      <c r="F906" s="451"/>
    </row>
    <row r="907">
      <c r="E907" s="451"/>
      <c r="F907" s="451"/>
    </row>
    <row r="908">
      <c r="E908" s="451"/>
      <c r="F908" s="451"/>
    </row>
    <row r="909">
      <c r="E909" s="451"/>
      <c r="F909" s="451"/>
    </row>
    <row r="910">
      <c r="E910" s="451"/>
      <c r="F910" s="451"/>
    </row>
    <row r="911">
      <c r="E911" s="451"/>
      <c r="F911" s="451"/>
    </row>
    <row r="912">
      <c r="E912" s="451"/>
      <c r="F912" s="451"/>
    </row>
    <row r="913">
      <c r="E913" s="451"/>
      <c r="F913" s="451"/>
    </row>
    <row r="914">
      <c r="E914" s="451"/>
      <c r="F914" s="451"/>
    </row>
    <row r="915">
      <c r="E915" s="451"/>
      <c r="F915" s="451"/>
    </row>
    <row r="916">
      <c r="E916" s="451"/>
      <c r="F916" s="451"/>
    </row>
    <row r="917">
      <c r="E917" s="451"/>
      <c r="F917" s="451"/>
    </row>
    <row r="918">
      <c r="E918" s="451"/>
      <c r="F918" s="451"/>
    </row>
    <row r="919">
      <c r="E919" s="451"/>
      <c r="F919" s="451"/>
    </row>
    <row r="920">
      <c r="E920" s="451"/>
      <c r="F920" s="451"/>
    </row>
    <row r="921">
      <c r="E921" s="451"/>
      <c r="F921" s="451"/>
    </row>
    <row r="922">
      <c r="E922" s="451"/>
      <c r="F922" s="451"/>
    </row>
    <row r="923">
      <c r="E923" s="451"/>
      <c r="F923" s="451"/>
    </row>
    <row r="924">
      <c r="E924" s="451"/>
      <c r="F924" s="451"/>
    </row>
    <row r="925">
      <c r="E925" s="451"/>
      <c r="F925" s="451"/>
    </row>
    <row r="926">
      <c r="E926" s="451"/>
      <c r="F926" s="451"/>
    </row>
    <row r="927">
      <c r="E927" s="451"/>
      <c r="F927" s="451"/>
    </row>
    <row r="928">
      <c r="E928" s="451"/>
      <c r="F928" s="451"/>
    </row>
    <row r="929">
      <c r="E929" s="451"/>
      <c r="F929" s="451"/>
    </row>
    <row r="930">
      <c r="E930" s="451"/>
      <c r="F930" s="451"/>
    </row>
    <row r="931">
      <c r="E931" s="451"/>
      <c r="F931" s="451"/>
    </row>
    <row r="932">
      <c r="E932" s="451"/>
      <c r="F932" s="451"/>
    </row>
    <row r="933">
      <c r="E933" s="451"/>
      <c r="F933" s="451"/>
    </row>
    <row r="934">
      <c r="E934" s="451"/>
      <c r="F934" s="451"/>
    </row>
    <row r="935">
      <c r="E935" s="451"/>
      <c r="F935" s="451"/>
    </row>
    <row r="936">
      <c r="E936" s="451"/>
      <c r="F936" s="451"/>
    </row>
    <row r="937">
      <c r="E937" s="451"/>
      <c r="F937" s="451"/>
    </row>
    <row r="938">
      <c r="E938" s="451"/>
      <c r="F938" s="451"/>
    </row>
    <row r="939">
      <c r="E939" s="451"/>
      <c r="F939" s="451"/>
    </row>
    <row r="940">
      <c r="E940" s="451"/>
      <c r="F940" s="451"/>
    </row>
    <row r="941">
      <c r="E941" s="451"/>
      <c r="F941" s="451"/>
    </row>
    <row r="942">
      <c r="E942" s="451"/>
      <c r="F942" s="451"/>
    </row>
    <row r="943">
      <c r="E943" s="451"/>
      <c r="F943" s="451"/>
    </row>
    <row r="944">
      <c r="E944" s="451"/>
      <c r="F944" s="451"/>
    </row>
    <row r="945">
      <c r="E945" s="451"/>
      <c r="F945" s="451"/>
    </row>
    <row r="946">
      <c r="E946" s="451"/>
      <c r="F946" s="451"/>
    </row>
    <row r="947">
      <c r="E947" s="451"/>
      <c r="F947" s="451"/>
    </row>
    <row r="948">
      <c r="E948" s="451"/>
      <c r="F948" s="451"/>
    </row>
    <row r="949">
      <c r="E949" s="451"/>
      <c r="F949" s="451"/>
    </row>
    <row r="950">
      <c r="E950" s="451"/>
      <c r="F950" s="451"/>
    </row>
    <row r="951">
      <c r="E951" s="451"/>
      <c r="F951" s="451"/>
    </row>
    <row r="952">
      <c r="E952" s="451"/>
      <c r="F952" s="451"/>
    </row>
    <row r="953">
      <c r="E953" s="451"/>
      <c r="F953" s="451"/>
    </row>
    <row r="954">
      <c r="E954" s="451"/>
      <c r="F954" s="451"/>
    </row>
    <row r="955">
      <c r="E955" s="451"/>
      <c r="F955" s="451"/>
    </row>
    <row r="956">
      <c r="E956" s="451"/>
      <c r="F956" s="451"/>
    </row>
    <row r="957">
      <c r="E957" s="451"/>
      <c r="F957" s="451"/>
    </row>
    <row r="958">
      <c r="E958" s="451"/>
      <c r="F958" s="451"/>
    </row>
    <row r="959">
      <c r="E959" s="451"/>
      <c r="F959" s="451"/>
    </row>
    <row r="960">
      <c r="E960" s="451"/>
      <c r="F960" s="451"/>
    </row>
    <row r="961">
      <c r="E961" s="451"/>
      <c r="F961" s="451"/>
    </row>
    <row r="962">
      <c r="E962" s="451"/>
      <c r="F962" s="451"/>
    </row>
    <row r="963">
      <c r="E963" s="451"/>
      <c r="F963" s="451"/>
    </row>
    <row r="964">
      <c r="E964" s="451"/>
      <c r="F964" s="451"/>
    </row>
    <row r="965">
      <c r="E965" s="451"/>
      <c r="F965" s="451"/>
    </row>
    <row r="966">
      <c r="E966" s="451"/>
      <c r="F966" s="451"/>
    </row>
    <row r="967">
      <c r="E967" s="451"/>
      <c r="F967" s="451"/>
    </row>
    <row r="968">
      <c r="E968" s="451"/>
      <c r="F968" s="451"/>
    </row>
    <row r="969">
      <c r="E969" s="451"/>
      <c r="F969" s="451"/>
    </row>
    <row r="970">
      <c r="E970" s="451"/>
      <c r="F970" s="451"/>
    </row>
    <row r="971">
      <c r="E971" s="451"/>
      <c r="F971" s="451"/>
    </row>
    <row r="972">
      <c r="E972" s="451"/>
      <c r="F972" s="451"/>
    </row>
    <row r="973">
      <c r="E973" s="451"/>
      <c r="F973" s="451"/>
    </row>
    <row r="974">
      <c r="E974" s="451"/>
      <c r="F974" s="451"/>
    </row>
    <row r="975">
      <c r="E975" s="451"/>
      <c r="F975" s="451"/>
    </row>
    <row r="976">
      <c r="E976" s="451"/>
      <c r="F976" s="451"/>
    </row>
    <row r="977">
      <c r="E977" s="451"/>
      <c r="F977" s="451"/>
    </row>
    <row r="978">
      <c r="E978" s="451"/>
      <c r="F978" s="451"/>
    </row>
    <row r="979">
      <c r="E979" s="451"/>
      <c r="F979" s="451"/>
    </row>
    <row r="980">
      <c r="E980" s="451"/>
      <c r="F980" s="451"/>
    </row>
    <row r="981">
      <c r="E981" s="451"/>
      <c r="F981" s="451"/>
    </row>
    <row r="982">
      <c r="E982" s="451"/>
      <c r="F982" s="451"/>
    </row>
    <row r="983">
      <c r="E983" s="451"/>
      <c r="F983" s="451"/>
    </row>
    <row r="984">
      <c r="E984" s="451"/>
      <c r="F984" s="451"/>
    </row>
    <row r="985">
      <c r="E985" s="451"/>
      <c r="F985" s="451"/>
    </row>
    <row r="986">
      <c r="E986" s="451"/>
      <c r="F986" s="451"/>
    </row>
    <row r="987">
      <c r="E987" s="451"/>
      <c r="F987" s="451"/>
    </row>
    <row r="988">
      <c r="E988" s="451"/>
      <c r="F988" s="451"/>
    </row>
    <row r="989">
      <c r="E989" s="451"/>
      <c r="F989" s="451"/>
    </row>
    <row r="990">
      <c r="E990" s="451"/>
      <c r="F990" s="451"/>
    </row>
    <row r="991">
      <c r="E991" s="451"/>
      <c r="F991" s="451"/>
    </row>
    <row r="992">
      <c r="E992" s="451"/>
      <c r="F992" s="451"/>
    </row>
    <row r="993">
      <c r="E993" s="451"/>
      <c r="F993" s="451"/>
    </row>
    <row r="994">
      <c r="E994" s="451"/>
      <c r="F994" s="451"/>
    </row>
    <row r="995">
      <c r="E995" s="451"/>
      <c r="F995" s="451"/>
    </row>
    <row r="996">
      <c r="E996" s="451"/>
      <c r="F996" s="451"/>
    </row>
    <row r="997">
      <c r="E997" s="451"/>
      <c r="F997" s="451"/>
    </row>
    <row r="998">
      <c r="E998" s="451"/>
      <c r="F998" s="451"/>
    </row>
    <row r="999">
      <c r="E999" s="451"/>
      <c r="F999" s="451"/>
    </row>
    <row r="1000">
      <c r="E1000" s="451"/>
      <c r="F1000" s="451"/>
    </row>
    <row r="1001">
      <c r="E1001" s="451"/>
      <c r="F1001" s="451"/>
    </row>
    <row r="1002">
      <c r="E1002" s="451"/>
      <c r="F1002" s="451"/>
    </row>
    <row r="1003">
      <c r="E1003" s="451"/>
      <c r="F1003" s="451"/>
    </row>
    <row r="1004">
      <c r="E1004" s="451"/>
      <c r="F1004" s="451"/>
    </row>
    <row r="1005">
      <c r="E1005" s="451"/>
      <c r="F1005" s="451"/>
    </row>
    <row r="1006">
      <c r="E1006" s="451"/>
      <c r="F1006" s="451"/>
    </row>
    <row r="1007">
      <c r="E1007" s="451"/>
      <c r="F1007" s="451"/>
    </row>
    <row r="1008">
      <c r="E1008" s="451"/>
      <c r="F1008" s="451"/>
    </row>
    <row r="1009">
      <c r="E1009" s="451"/>
      <c r="F1009" s="451"/>
    </row>
    <row r="1010">
      <c r="E1010" s="451"/>
      <c r="F1010" s="451"/>
    </row>
    <row r="1011">
      <c r="E1011" s="451"/>
      <c r="F1011" s="451"/>
    </row>
    <row r="1012">
      <c r="E1012" s="451"/>
      <c r="F1012" s="451"/>
    </row>
    <row r="1013">
      <c r="E1013" s="451"/>
      <c r="F1013" s="451"/>
    </row>
    <row r="1014">
      <c r="E1014" s="451"/>
      <c r="F1014" s="451"/>
    </row>
    <row r="1015">
      <c r="E1015" s="451"/>
      <c r="F1015" s="451"/>
    </row>
    <row r="1016">
      <c r="E1016" s="451"/>
      <c r="F1016" s="451"/>
    </row>
    <row r="1017">
      <c r="E1017" s="451"/>
      <c r="F1017" s="451"/>
    </row>
    <row r="1018">
      <c r="E1018" s="451"/>
      <c r="F1018" s="451"/>
    </row>
    <row r="1019">
      <c r="E1019" s="451"/>
      <c r="F1019" s="451"/>
    </row>
    <row r="1020">
      <c r="E1020" s="451"/>
      <c r="F1020" s="451"/>
    </row>
    <row r="1021">
      <c r="E1021" s="451"/>
      <c r="F1021" s="451"/>
    </row>
    <row r="1022">
      <c r="E1022" s="451"/>
      <c r="F1022" s="451"/>
    </row>
    <row r="1023">
      <c r="E1023" s="451"/>
      <c r="F1023" s="451"/>
    </row>
    <row r="1024">
      <c r="E1024" s="451"/>
      <c r="F1024" s="451"/>
    </row>
    <row r="1025">
      <c r="E1025" s="451"/>
      <c r="F1025" s="451"/>
    </row>
    <row r="1026">
      <c r="E1026" s="451"/>
      <c r="F1026" s="451"/>
    </row>
    <row r="1027">
      <c r="E1027" s="451"/>
      <c r="F1027" s="451"/>
    </row>
    <row r="1028">
      <c r="E1028" s="451"/>
      <c r="F1028" s="451"/>
    </row>
    <row r="1029">
      <c r="E1029" s="451"/>
      <c r="F1029" s="451"/>
    </row>
    <row r="1030">
      <c r="E1030" s="451"/>
      <c r="F1030" s="451"/>
    </row>
    <row r="1031">
      <c r="E1031" s="451"/>
      <c r="F1031" s="451"/>
    </row>
    <row r="1032">
      <c r="E1032" s="451"/>
      <c r="F1032" s="451"/>
    </row>
    <row r="1033">
      <c r="E1033" s="451"/>
      <c r="F1033" s="451"/>
    </row>
    <row r="1034">
      <c r="E1034" s="451"/>
      <c r="F1034" s="451"/>
    </row>
    <row r="1035">
      <c r="E1035" s="451"/>
      <c r="F1035" s="451"/>
    </row>
  </sheetData>
  <autoFilter ref="$A$1:$I$62"/>
  <drawing r:id="rId1"/>
</worksheet>
</file>